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3C26872738BCCBB7/Documents/"/>
    </mc:Choice>
  </mc:AlternateContent>
  <xr:revisionPtr revIDLastSave="1274" documentId="8_{C4065B9E-89A7-4818-9F83-6FA3CAE33600}" xr6:coauthVersionLast="47" xr6:coauthVersionMax="47" xr10:uidLastSave="{2EA5AD43-096E-4FB1-BFDA-0053F15E0D80}"/>
  <bookViews>
    <workbookView xWindow="-108" yWindow="-108" windowWidth="23256" windowHeight="12456" activeTab="2" xr2:uid="{00000000-000D-0000-FFFF-FFFF00000000}"/>
  </bookViews>
  <sheets>
    <sheet name="Flipkart_Sales_Data" sheetId="3" r:id="rId1"/>
    <sheet name="Pivot Tables" sheetId="1" r:id="rId2"/>
    <sheet name="Dashboard" sheetId="4" r:id="rId3"/>
  </sheets>
  <definedNames>
    <definedName name="ExternalData_1" localSheetId="0" hidden="1">Flipkart_Sales_Data!$A$1:$I$700</definedName>
    <definedName name="Slicer_Category2">#N/A</definedName>
    <definedName name="Slicer_Months__Order_Date">#N/A</definedName>
    <definedName name="Slicer_Payment_Method2">#N/A</definedName>
    <definedName name="Slicer_Product_Name">#N/A</definedName>
    <definedName name="Slicer_Years__Order_Date">#N/A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 i="1" l="1"/>
  <c r="H5" i="1"/>
  <c r="F5" i="1"/>
  <c r="E5" i="1"/>
  <c r="D5" i="1"/>
  <c r="C5" i="1"/>
  <c r="B5" i="1"/>
  <c r="A5" i="1"/>
  <c r="T6" i="4"/>
  <c r="Q6" i="4"/>
  <c r="N6" i="4"/>
  <c r="K6" i="4"/>
  <c r="H6" i="4"/>
  <c r="F6"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5D6554B-E2CB-4DB2-A850-E47E19C2F949}" keepAlive="1" name="Query - flipkart_sales" description="Connection to the 'flipkart_sales' query in the workbook." type="5" refreshedVersion="8" background="1" saveData="1">
    <dbPr connection="Provider=Microsoft.Mashup.OleDb.1;Data Source=$Workbook$;Location=flipkart_sales;Extended Properties=&quot;&quot;" command="SELECT * FROM [flipkart_sales]"/>
  </connection>
</connections>
</file>

<file path=xl/sharedStrings.xml><?xml version="1.0" encoding="utf-8"?>
<sst xmlns="http://schemas.openxmlformats.org/spreadsheetml/2006/main" count="2976" uniqueCount="799">
  <si>
    <t>Row Labels</t>
  </si>
  <si>
    <t>Grand Total</t>
  </si>
  <si>
    <t>Order ID</t>
  </si>
  <si>
    <t>Product Name</t>
  </si>
  <si>
    <t>Category</t>
  </si>
  <si>
    <t>Price (INR)</t>
  </si>
  <si>
    <t>Quantity Sold</t>
  </si>
  <si>
    <t>Total Sales (INR)</t>
  </si>
  <si>
    <t>Order Date</t>
  </si>
  <si>
    <t>Payment Method</t>
  </si>
  <si>
    <t>Customer Rating</t>
  </si>
  <si>
    <t>ORD00001</t>
  </si>
  <si>
    <t>Educational Book</t>
  </si>
  <si>
    <t>Books</t>
  </si>
  <si>
    <t>Debit Card</t>
  </si>
  <si>
    <t>ORD00002</t>
  </si>
  <si>
    <t>Jeans</t>
  </si>
  <si>
    <t>Clothing</t>
  </si>
  <si>
    <t>UPI</t>
  </si>
  <si>
    <t>ORD00003</t>
  </si>
  <si>
    <t>Face Cream</t>
  </si>
  <si>
    <t>Beauty</t>
  </si>
  <si>
    <t>ORD00004</t>
  </si>
  <si>
    <t>Smartwatch</t>
  </si>
  <si>
    <t>Electronics</t>
  </si>
  <si>
    <t>ORD00005</t>
  </si>
  <si>
    <t>Cookware Set</t>
  </si>
  <si>
    <t>Home &amp; Kitchen</t>
  </si>
  <si>
    <t>ORD00006</t>
  </si>
  <si>
    <t>Mixer Grinder</t>
  </si>
  <si>
    <t>Wallet</t>
  </si>
  <si>
    <t>ORD00007</t>
  </si>
  <si>
    <t>Sneakers</t>
  </si>
  <si>
    <t>ORD00008</t>
  </si>
  <si>
    <t>Table Lamp</t>
  </si>
  <si>
    <t>ORD00009</t>
  </si>
  <si>
    <t>Jacket</t>
  </si>
  <si>
    <t>ORD00010</t>
  </si>
  <si>
    <t>Tablet</t>
  </si>
  <si>
    <t>ORD00011</t>
  </si>
  <si>
    <t>Perfume</t>
  </si>
  <si>
    <t>ORD00012</t>
  </si>
  <si>
    <t>Lipstick</t>
  </si>
  <si>
    <t>ORD00013</t>
  </si>
  <si>
    <t>COD</t>
  </si>
  <si>
    <t>ORD00014</t>
  </si>
  <si>
    <t>Smartphone</t>
  </si>
  <si>
    <t>ORD00015</t>
  </si>
  <si>
    <t>Comic Book</t>
  </si>
  <si>
    <t>Credit Card</t>
  </si>
  <si>
    <t>ORD00016</t>
  </si>
  <si>
    <t>ORD00017</t>
  </si>
  <si>
    <t>Cookbook</t>
  </si>
  <si>
    <t>ORD00018</t>
  </si>
  <si>
    <t>ORD00019</t>
  </si>
  <si>
    <t>ORD00020</t>
  </si>
  <si>
    <t>T-Shirt</t>
  </si>
  <si>
    <t>ORD00021</t>
  </si>
  <si>
    <t>Net Banking</t>
  </si>
  <si>
    <t>ORD00022</t>
  </si>
  <si>
    <t>ORD00023</t>
  </si>
  <si>
    <t>ORD00024</t>
  </si>
  <si>
    <t>Bedsheet</t>
  </si>
  <si>
    <t>ORD00025</t>
  </si>
  <si>
    <t>ORD00026</t>
  </si>
  <si>
    <t>ORD00027</t>
  </si>
  <si>
    <t>ORD00028</t>
  </si>
  <si>
    <t>ORD00029</t>
  </si>
  <si>
    <t>ORD00030</t>
  </si>
  <si>
    <t>ORD00031</t>
  </si>
  <si>
    <t>ORD00032</t>
  </si>
  <si>
    <t>Hair Dryer</t>
  </si>
  <si>
    <t>ORD00033</t>
  </si>
  <si>
    <t>Laptop</t>
  </si>
  <si>
    <t>ORD00034</t>
  </si>
  <si>
    <t>ORD00035</t>
  </si>
  <si>
    <t>ORD00036</t>
  </si>
  <si>
    <t>Shampoo</t>
  </si>
  <si>
    <t>ORD00037</t>
  </si>
  <si>
    <t>ORD00038</t>
  </si>
  <si>
    <t>ORD00039</t>
  </si>
  <si>
    <t>ORD00040</t>
  </si>
  <si>
    <t>ORD00041</t>
  </si>
  <si>
    <t>ORD00042</t>
  </si>
  <si>
    <t>Headphones</t>
  </si>
  <si>
    <t>ORD00043</t>
  </si>
  <si>
    <t>ORD00044</t>
  </si>
  <si>
    <t>ORD00045</t>
  </si>
  <si>
    <t>ORD00046</t>
  </si>
  <si>
    <t>ORD00047</t>
  </si>
  <si>
    <t>ORD00048</t>
  </si>
  <si>
    <t>ORD00049</t>
  </si>
  <si>
    <t>ORD00050</t>
  </si>
  <si>
    <t>ORD00051</t>
  </si>
  <si>
    <t>ORD00052</t>
  </si>
  <si>
    <t>Fiction Novel</t>
  </si>
  <si>
    <t>ORD00053</t>
  </si>
  <si>
    <t>ORD00054</t>
  </si>
  <si>
    <t>ORD00055</t>
  </si>
  <si>
    <t>ORD00056</t>
  </si>
  <si>
    <t>ORD00057</t>
  </si>
  <si>
    <t>ORD00058</t>
  </si>
  <si>
    <t>Self-Help Book</t>
  </si>
  <si>
    <t>ORD00059</t>
  </si>
  <si>
    <t>ORD00060</t>
  </si>
  <si>
    <t>ORD00061</t>
  </si>
  <si>
    <t>ORD00062</t>
  </si>
  <si>
    <t>ORD00063</t>
  </si>
  <si>
    <t>ORD00064</t>
  </si>
  <si>
    <t>ORD00065</t>
  </si>
  <si>
    <t>ORD00066</t>
  </si>
  <si>
    <t>ORD00067</t>
  </si>
  <si>
    <t>ORD00068</t>
  </si>
  <si>
    <t>ORD00069</t>
  </si>
  <si>
    <t>ORD00070</t>
  </si>
  <si>
    <t>ORD00071</t>
  </si>
  <si>
    <t>ORD00072</t>
  </si>
  <si>
    <t>ORD00073</t>
  </si>
  <si>
    <t>ORD00074</t>
  </si>
  <si>
    <t>ORD00075</t>
  </si>
  <si>
    <t>ORD00076</t>
  </si>
  <si>
    <t>ORD00077</t>
  </si>
  <si>
    <t>Sofa Cover</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</si>
  <si>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</si>
  <si>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</si>
  <si>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</si>
  <si>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</si>
  <si>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</si>
  <si>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</si>
  <si>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</si>
  <si>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</si>
  <si>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</si>
  <si>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</si>
  <si>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</si>
  <si>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</si>
  <si>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</si>
  <si>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</si>
  <si>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</si>
  <si>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</si>
  <si>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</si>
  <si>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</si>
  <si>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</si>
  <si>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</si>
  <si>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</si>
  <si>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</si>
  <si>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</si>
  <si>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</si>
  <si>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</si>
  <si>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</si>
  <si>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</si>
  <si>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</si>
  <si>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</si>
  <si>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</si>
  <si>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Dress</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</si>
  <si>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</si>
  <si>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</si>
  <si>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</si>
  <si>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</si>
  <si>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</si>
  <si>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</si>
  <si>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</si>
  <si>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</si>
  <si>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</si>
  <si>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</si>
  <si>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</si>
  <si>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</si>
  <si>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</si>
  <si>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</si>
  <si>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</si>
  <si>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</si>
  <si>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</si>
  <si>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</si>
  <si>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</si>
  <si>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</si>
  <si>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</si>
  <si>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</si>
  <si>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</si>
  <si>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</si>
  <si>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</si>
  <si>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</si>
  <si>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</si>
  <si>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</si>
  <si>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</si>
  <si>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</si>
  <si>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</si>
  <si>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</si>
  <si>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</si>
  <si>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</si>
  <si>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</si>
  <si>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</si>
  <si>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</si>
  <si>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</si>
  <si>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</si>
  <si>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</si>
  <si>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</si>
  <si>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</si>
  <si>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</si>
  <si>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</si>
  <si>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</si>
  <si>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</si>
  <si>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</si>
  <si>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</si>
  <si>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</si>
  <si>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</si>
  <si>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</si>
  <si>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</si>
  <si>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</si>
  <si>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</si>
  <si>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</si>
  <si>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</si>
  <si>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</si>
  <si>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</si>
  <si>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</si>
  <si>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</si>
  <si>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</si>
  <si>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</si>
  <si>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</si>
  <si>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</si>
  <si>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</si>
  <si>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</si>
  <si>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</si>
  <si>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</si>
  <si>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</si>
  <si>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</si>
  <si>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</si>
  <si>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</si>
  <si>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</si>
  <si>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</si>
  <si>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</si>
  <si>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</si>
  <si>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</si>
  <si>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</si>
  <si>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</si>
  <si>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</si>
  <si>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</si>
  <si>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</si>
  <si>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</si>
  <si>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</si>
  <si>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</si>
  <si>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</si>
  <si>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</si>
  <si>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</si>
  <si>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</si>
  <si>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</si>
  <si>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</si>
  <si>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</si>
  <si>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</si>
  <si>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</si>
  <si>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</si>
  <si>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</si>
  <si>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</si>
  <si>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</si>
  <si>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</si>
  <si>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</si>
  <si>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</si>
  <si>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</si>
  <si>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</si>
  <si>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</si>
  <si>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</si>
  <si>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</si>
  <si>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</si>
  <si>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</si>
  <si>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</si>
  <si>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</si>
  <si>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</si>
  <si>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</si>
  <si>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</si>
  <si>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</si>
  <si>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</si>
  <si>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</si>
  <si>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</si>
  <si>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</si>
  <si>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</si>
  <si>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</si>
  <si>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</si>
  <si>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</si>
  <si>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</si>
  <si>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</si>
  <si>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</si>
  <si>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</si>
  <si>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</si>
  <si>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</si>
  <si>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</si>
  <si>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</si>
  <si>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</si>
  <si>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</si>
  <si>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</si>
  <si>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</si>
  <si>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</si>
  <si>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</si>
  <si>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</si>
  <si>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</si>
  <si>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</si>
  <si>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</si>
  <si>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</si>
  <si>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</si>
  <si>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</si>
  <si>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</si>
  <si>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</si>
  <si>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</si>
  <si>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</si>
  <si>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</si>
  <si>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</si>
  <si>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</si>
  <si>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</si>
  <si>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</si>
  <si>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</si>
  <si>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</si>
  <si>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</si>
  <si>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</si>
  <si>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</si>
  <si>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</si>
  <si>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</si>
  <si>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</si>
  <si>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</si>
  <si>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</si>
  <si>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</si>
  <si>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</si>
  <si>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</si>
  <si>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</si>
  <si>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</si>
  <si>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</si>
  <si>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</si>
  <si>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</si>
  <si>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</si>
  <si>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</si>
  <si>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</si>
  <si>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</si>
  <si>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</si>
  <si>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</si>
  <si>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</si>
  <si>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</si>
  <si>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</si>
  <si>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</si>
  <si>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</si>
  <si>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</si>
  <si>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</si>
  <si>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</si>
  <si>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</si>
  <si>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</si>
  <si>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</si>
  <si>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</si>
  <si>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</si>
  <si>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</si>
  <si>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</si>
  <si>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</si>
  <si>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</si>
  <si>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</si>
  <si>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</si>
  <si>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</si>
  <si>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</si>
  <si>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</si>
  <si>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</si>
  <si>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</si>
  <si>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</si>
  <si>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</si>
  <si>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</si>
  <si>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</si>
  <si>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</si>
  <si>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</si>
  <si>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</si>
  <si>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</si>
  <si>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</si>
  <si>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</si>
  <si>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</si>
  <si>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</si>
  <si>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</si>
  <si>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</si>
  <si>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</si>
  <si>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</si>
  <si>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</si>
  <si>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</si>
  <si>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</si>
  <si>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</si>
  <si>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</si>
  <si>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</si>
  <si>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</si>
  <si>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</si>
  <si>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</si>
  <si>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</si>
  <si>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</si>
  <si>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</si>
  <si>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</si>
  <si>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</si>
  <si>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</si>
  <si>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</si>
  <si>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</si>
  <si>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</si>
  <si>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</si>
  <si>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</si>
  <si>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</si>
  <si>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</si>
  <si>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</si>
  <si>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</si>
  <si>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</si>
  <si>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</si>
  <si>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</si>
  <si>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</si>
  <si>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</si>
  <si>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</si>
  <si>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</si>
  <si>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</si>
  <si>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</si>
  <si>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</si>
  <si>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</si>
  <si>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</si>
  <si>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</si>
  <si>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</si>
  <si>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</si>
  <si>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</si>
  <si>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</si>
  <si>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</si>
  <si>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</si>
  <si>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</si>
  <si>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</si>
  <si>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</si>
  <si>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</si>
  <si>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</si>
  <si>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</si>
  <si>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</si>
  <si>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</si>
  <si>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</si>
  <si>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</si>
  <si>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</si>
  <si>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</si>
  <si>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</si>
  <si>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</si>
  <si>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</si>
  <si>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</si>
  <si>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</si>
  <si>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</si>
  <si>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</si>
  <si>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</si>
  <si>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</si>
  <si>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</si>
  <si>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</si>
  <si>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</si>
  <si>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</si>
  <si>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</si>
  <si>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</si>
  <si>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</si>
  <si>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</si>
  <si>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</si>
  <si>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</si>
  <si>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</si>
  <si>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</si>
  <si>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</si>
  <si>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</si>
  <si>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</si>
  <si>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</si>
  <si>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</si>
  <si>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</si>
  <si>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</si>
  <si>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</si>
  <si>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</si>
  <si>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</si>
  <si>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</si>
  <si>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</si>
  <si>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</si>
  <si>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</si>
  <si>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</si>
  <si>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</si>
  <si>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</si>
  <si>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</si>
  <si>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</si>
  <si>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</si>
  <si>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</si>
  <si>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</si>
  <si>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</si>
  <si>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</si>
  <si>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</si>
  <si>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</si>
  <si>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</si>
  <si>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</si>
  <si>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</si>
  <si>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</si>
  <si>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</si>
  <si>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</si>
  <si>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</si>
  <si>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</si>
  <si>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</si>
  <si>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</si>
  <si>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</si>
  <si>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</si>
  <si>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</si>
  <si>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</si>
  <si>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</si>
  <si>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</si>
  <si>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</si>
  <si>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</si>
  <si>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</si>
  <si>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</si>
  <si>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</si>
  <si>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</si>
  <si>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</si>
  <si>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</si>
  <si>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</si>
  <si>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</si>
  <si>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</si>
  <si>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</si>
  <si>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</si>
  <si>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</si>
  <si>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</si>
  <si>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</si>
  <si>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</si>
  <si>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</si>
  <si>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</si>
  <si>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</si>
  <si>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</si>
  <si>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</si>
  <si>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</si>
  <si>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</si>
  <si>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</si>
  <si>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</si>
  <si>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</si>
  <si>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</si>
  <si>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</si>
  <si>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</si>
  <si>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</si>
  <si>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</si>
  <si>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</si>
  <si>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</si>
  <si>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</si>
  <si>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</si>
  <si>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</si>
  <si>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</si>
  <si>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</si>
  <si>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</si>
  <si>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</si>
  <si>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</si>
  <si>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</si>
  <si>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</si>
  <si>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</si>
  <si>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</si>
  <si>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</si>
  <si>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</si>
  <si>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</si>
  <si>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</si>
  <si>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</si>
  <si>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</si>
  <si>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</si>
  <si>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</si>
  <si>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</si>
  <si>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</si>
  <si>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</si>
  <si>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</si>
  <si>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</si>
  <si>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ORD00501</t>
  </si>
  <si>
    <t>ORD00502</t>
  </si>
  <si>
    <t>ORD00503</t>
  </si>
  <si>
    <t>ORD00504</t>
  </si>
  <si>
    <t>ORD00505</t>
  </si>
  <si>
    <t>ORD00506</t>
  </si>
  <si>
    <t>ORD00507</t>
  </si>
  <si>
    <t>ORD00508</t>
  </si>
  <si>
    <t>ORD00509</t>
  </si>
  <si>
    <t>ORD00510</t>
  </si>
  <si>
    <t>ORD00511</t>
  </si>
  <si>
    <t>ORD00512</t>
  </si>
  <si>
    <t>ORD00513</t>
  </si>
  <si>
    <t>ORD00514</t>
  </si>
  <si>
    <t>ORD00515</t>
  </si>
  <si>
    <t>ORD00516</t>
  </si>
  <si>
    <t>ORD00517</t>
  </si>
  <si>
    <t>ORD00518</t>
  </si>
  <si>
    <t>ORD00519</t>
  </si>
  <si>
    <t>ORD00520</t>
  </si>
  <si>
    <t>ORD00521</t>
  </si>
  <si>
    <t>ORD00522</t>
  </si>
  <si>
    <t>ORD00523</t>
  </si>
  <si>
    <t>ORD00524</t>
  </si>
  <si>
    <t>ORD00525</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</si>
  <si>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</si>
  <si>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</si>
  <si>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</si>
  <si>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</si>
  <si>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</si>
  <si>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</si>
  <si>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</si>
  <si>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</si>
  <si>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</si>
  <si>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</si>
  <si>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</si>
  <si>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</si>
  <si>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</si>
  <si>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</si>
  <si>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</si>
  <si>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</si>
  <si>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</si>
  <si>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</si>
  <si>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</si>
  <si>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</si>
  <si>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</si>
  <si>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</si>
  <si>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</si>
  <si>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</si>
  <si>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</si>
  <si>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</si>
  <si>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</si>
  <si>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</si>
  <si>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</si>
  <si>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</si>
  <si>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ORD00556</t>
  </si>
  <si>
    <t>ORD00557</t>
  </si>
  <si>
    <t>ORD00558</t>
  </si>
  <si>
    <t>ORD00559</t>
  </si>
  <si>
    <t>ORD00560</t>
  </si>
  <si>
    <t>ORD00561</t>
  </si>
  <si>
    <t>ORD00562</t>
  </si>
  <si>
    <t>ORD00563</t>
  </si>
  <si>
    <t>ORD00564</t>
  </si>
  <si>
    <t>ORD00565</t>
  </si>
  <si>
    <t>ORD00566</t>
  </si>
  <si>
    <t>ORD00567</t>
  </si>
  <si>
    <t>ORD00568</t>
  </si>
  <si>
    <t>ORD00569</t>
  </si>
  <si>
    <t>ORD00570</t>
  </si>
  <si>
    <t>ORD00571</t>
  </si>
  <si>
    <t>ORD00572</t>
  </si>
  <si>
    <t>ORD00573</t>
  </si>
  <si>
    <t>ORD00574</t>
  </si>
  <si>
    <t>ORD00575</t>
  </si>
  <si>
    <t>ORD00576</t>
  </si>
  <si>
    <t>ORD00577</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</si>
  <si>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</si>
  <si>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</si>
  <si>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</si>
  <si>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</si>
  <si>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</si>
  <si>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</si>
  <si>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</si>
  <si>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</si>
  <si>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</si>
  <si>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</si>
  <si>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</si>
  <si>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</si>
  <si>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</si>
  <si>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</si>
  <si>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</si>
  <si>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</si>
  <si>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</si>
  <si>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</si>
  <si>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</si>
  <si>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</si>
  <si>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</si>
  <si>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</si>
  <si>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ORD00600</t>
  </si>
  <si>
    <t>ORD00601</t>
  </si>
  <si>
    <t>ORD00602</t>
  </si>
  <si>
    <t>ORD00603</t>
  </si>
  <si>
    <t>ORD00604</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</si>
  <si>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</si>
  <si>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</si>
  <si>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</si>
  <si>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</si>
  <si>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</si>
  <si>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</si>
  <si>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</si>
  <si>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</si>
  <si>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</si>
  <si>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</si>
  <si>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</si>
  <si>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</si>
  <si>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</si>
  <si>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</si>
  <si>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</si>
  <si>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</si>
  <si>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</si>
  <si>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</si>
  <si>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</si>
  <si>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</si>
  <si>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</si>
  <si>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</si>
  <si>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</si>
  <si>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</si>
  <si>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</si>
  <si>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</si>
  <si>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</si>
  <si>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</si>
  <si>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</si>
  <si>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</si>
  <si>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</si>
  <si>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</si>
  <si>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</si>
  <si>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</si>
  <si>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</si>
  <si>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</si>
  <si>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</si>
  <si>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</si>
  <si>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</si>
  <si>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</si>
  <si>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</si>
  <si>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</si>
  <si>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</si>
  <si>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</si>
  <si>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ORD00649</t>
  </si>
  <si>
    <t>ORD00650</t>
  </si>
  <si>
    <t>ORD00651</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</si>
  <si>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</si>
  <si>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</si>
  <si>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</si>
  <si>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</si>
  <si>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</si>
  <si>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</si>
  <si>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</si>
  <si>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</si>
  <si>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</si>
  <si>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</si>
  <si>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</si>
  <si>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</si>
  <si>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</si>
  <si>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</si>
  <si>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</si>
  <si>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</si>
  <si>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</si>
  <si>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</si>
  <si>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</si>
  <si>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</si>
  <si>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</si>
  <si>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</si>
  <si>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</si>
  <si>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</si>
  <si>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</si>
  <si>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</si>
  <si>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</si>
  <si>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</si>
  <si>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</si>
  <si>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</si>
  <si>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</si>
  <si>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</si>
  <si>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</si>
  <si>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</si>
  <si>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</si>
  <si>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</si>
  <si>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</si>
  <si>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</si>
  <si>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</si>
  <si>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</si>
  <si>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</si>
  <si>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ORD00693</t>
  </si>
  <si>
    <t>ORD00694</t>
  </si>
  <si>
    <t>ORD00695</t>
  </si>
  <si>
    <t>ORD00696</t>
  </si>
  <si>
    <t>ORD00697</t>
  </si>
  <si>
    <t>ORD00698</t>
  </si>
  <si>
    <t>ORD00699</t>
  </si>
  <si>
    <t>Sum of Total Sales (INR)</t>
  </si>
  <si>
    <t>Sum of Price (INR)</t>
  </si>
  <si>
    <t>Column Labels</t>
  </si>
  <si>
    <t>payment methods</t>
  </si>
  <si>
    <t>Sum of Quantity Sold</t>
  </si>
  <si>
    <t>2024</t>
  </si>
  <si>
    <t>2025</t>
  </si>
  <si>
    <t>Jan</t>
  </si>
  <si>
    <t>Feb</t>
  </si>
  <si>
    <t>Mar</t>
  </si>
  <si>
    <t>Apr</t>
  </si>
  <si>
    <t>May</t>
  </si>
  <si>
    <t>Jun</t>
  </si>
  <si>
    <t>Jul</t>
  </si>
  <si>
    <t>Aug</t>
  </si>
  <si>
    <t>Sep</t>
  </si>
  <si>
    <t>Oct</t>
  </si>
  <si>
    <t>Nov</t>
  </si>
  <si>
    <t>Dec</t>
  </si>
  <si>
    <t>Average of Customer Rating</t>
  </si>
  <si>
    <t>FLIPKART SALES DASHBOARD</t>
  </si>
  <si>
    <t>Products</t>
  </si>
  <si>
    <t>Sales month</t>
  </si>
  <si>
    <t>(All)</t>
  </si>
  <si>
    <t>Total Products</t>
  </si>
  <si>
    <t>Total Orders</t>
  </si>
  <si>
    <t>Total Categories</t>
  </si>
  <si>
    <t>Total Quantity Sold</t>
  </si>
  <si>
    <t>Total Sales</t>
  </si>
  <si>
    <t>Average Rating</t>
  </si>
  <si>
    <t>Sales and Prices Distribution</t>
  </si>
  <si>
    <t>Payment Methods Usablity</t>
  </si>
  <si>
    <t>Payment Methods used Categorywise</t>
  </si>
  <si>
    <t>% Sales Categorywise</t>
  </si>
  <si>
    <t>Yearly Sold Quantity of Products</t>
  </si>
  <si>
    <t>Average Rating of Products</t>
  </si>
  <si>
    <t>Total Sales in Months</t>
  </si>
  <si>
    <t>Products Quantity Sold</t>
  </si>
  <si>
    <t>FLIPKART SALES PIVOT TABLES</t>
  </si>
  <si>
    <t>Count of Order IDs</t>
  </si>
  <si>
    <t>Count of Products</t>
  </si>
  <si>
    <t>Categories</t>
  </si>
  <si>
    <t>Average price</t>
  </si>
  <si>
    <t>Count of Quantity Sold</t>
  </si>
  <si>
    <t>Sum of Total Sales</t>
  </si>
  <si>
    <t>Pivot 3 :  Sales Analysis by Product Category and Payment Method</t>
  </si>
  <si>
    <t>Pivot 1 : Sales and Pricing Summary by Product Category</t>
  </si>
  <si>
    <t>Pivot 2 : Sales Share by Payment Method</t>
  </si>
  <si>
    <t xml:space="preserve">Pivot 4 : Category-wise Sales Contribution </t>
  </si>
  <si>
    <t>Pivot 5 : Annual Product Quantity Sold by Category (2024-2025)</t>
  </si>
  <si>
    <t>Pivot 6 : Monthly Sales Performance by Payment Method</t>
  </si>
  <si>
    <t>Pivot 7 : Average Customer Ratings by Product</t>
  </si>
  <si>
    <t>Pivot 8 : Annual Product Quantity Sold by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</si>
</sst>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0"/>
      <name val="Calibri"/>
      <family val="2"/>
      <scheme val="minor"/>
    </font>
    <font>
      <b/>
      <sz val="11"/>
      <color theme="1"/>
      <name val="Calibri"/>
      <family val="2"/>
      <scheme val="minor"/>
    </font>
    <font>
      <sz val="14"/>
      <color theme="0"/>
      <name val="Calibri"/>
      <family val="2"/>
      <scheme val="minor"/>
    </font>
    <font>
      <b/>
      <sz val="14"/>
      <color theme="1"/>
      <name val="Calibri"/>
      <family val="2"/>
      <scheme val="minor"/>
    </font>
    <font>
      <b/>
      <i/>
      <sz val="22"/>
      <color theme="0"/>
      <name val="Calibri"/>
      <family val="2"/>
      <scheme val="minor"/>
    </font>
  </fonts>
  <fills count="10">
    <fill>
      <patternFill patternType="none"/>
    </fill>
    <fill>
      <patternFill patternType="gray125"/>
    </fill>
    <fill>
      <patternFill patternType="solid">
        <fgColor theme="1"/>
        <bgColor indexed="64"/>
      </patternFill>
    </fill>
    <fill>
      <patternFill patternType="solid">
        <fgColor theme="7" tint="-0.249977111117893"/>
        <bgColor indexed="64"/>
      </patternFill>
    </fill>
    <fill>
      <patternFill patternType="solid">
        <fgColor theme="6"/>
        <bgColor indexed="64"/>
      </patternFill>
    </fill>
    <fill>
      <patternFill patternType="solid">
        <fgColor theme="0"/>
        <bgColor indexed="64"/>
      </patternFill>
    </fill>
    <fill>
      <patternFill patternType="solid">
        <fgColor theme="1" tint="0.34998626667073579"/>
        <bgColor indexed="64"/>
      </patternFill>
    </fill>
    <fill>
      <patternFill patternType="solid">
        <fgColor theme="1" tint="0.249977111117893"/>
        <bgColor indexed="64"/>
      </patternFill>
    </fill>
    <fill>
      <patternFill patternType="solid">
        <fgColor theme="8" tint="-0.249977111117893"/>
        <bgColor indexed="64"/>
      </patternFill>
    </fill>
    <fill>
      <patternFill patternType="solid">
        <fgColor theme="8" tint="-0.249977111117893"/>
        <bgColor theme="9"/>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33">
    <xf numFmtId="0" fontId="0" fillId="0" borderId="0" xfId="0"/>
    <xf numFmtId="1" fontId="0" fillId="0" borderId="0" xfId="0" applyNumberFormat="1"/>
    <xf numFmtId="0" fontId="0" fillId="0" borderId="0" xfId="0" applyAlignment="1">
      <alignment horizontal="center"/>
    </xf>
    <xf numFmtId="14" fontId="0" fillId="0" borderId="0" xfId="0" applyNumberFormat="1" applyAlignment="1">
      <alignment horizontal="center"/>
    </xf>
    <xf numFmtId="1" fontId="0" fillId="0" borderId="0" xfId="0" applyNumberFormat="1" applyAlignment="1">
      <alignment horizontal="center"/>
    </xf>
    <xf numFmtId="0" fontId="0" fillId="0" borderId="0" xfId="0" pivotButton="1" applyAlignment="1">
      <alignment horizontal="center"/>
    </xf>
    <xf numFmtId="10" fontId="0" fillId="0" borderId="0" xfId="0" applyNumberFormat="1" applyAlignment="1">
      <alignment horizontal="center"/>
    </xf>
    <xf numFmtId="0" fontId="0" fillId="0" borderId="0" xfId="0" pivotButton="1"/>
    <xf numFmtId="0" fontId="0" fillId="0" borderId="0" xfId="0" applyAlignment="1">
      <alignment horizontal="left"/>
    </xf>
    <xf numFmtId="2" fontId="0" fillId="0" borderId="0" xfId="0" applyNumberFormat="1"/>
    <xf numFmtId="0" fontId="0" fillId="2" borderId="0" xfId="0" applyFill="1"/>
    <xf numFmtId="0" fontId="3" fillId="2" borderId="0" xfId="0" applyFont="1" applyFill="1"/>
    <xf numFmtId="0" fontId="0" fillId="3" borderId="0" xfId="0" applyFill="1"/>
    <xf numFmtId="0" fontId="0" fillId="4" borderId="0" xfId="0" applyFill="1"/>
    <xf numFmtId="0" fontId="2" fillId="0" borderId="0" xfId="0" applyFont="1"/>
    <xf numFmtId="1" fontId="2" fillId="0" borderId="0" xfId="0" applyNumberFormat="1" applyFont="1"/>
    <xf numFmtId="2" fontId="2" fillId="0" borderId="0" xfId="0" applyNumberFormat="1" applyFont="1"/>
    <xf numFmtId="0" fontId="4" fillId="5" borderId="0" xfId="0" applyFont="1" applyFill="1"/>
    <xf numFmtId="0" fontId="0" fillId="5" borderId="0" xfId="0" applyFill="1"/>
    <xf numFmtId="0" fontId="2" fillId="5" borderId="0" xfId="0" applyFont="1" applyFill="1"/>
    <xf numFmtId="1" fontId="2" fillId="5" borderId="0" xfId="0" applyNumberFormat="1" applyFont="1" applyFill="1"/>
    <xf numFmtId="2" fontId="2" fillId="5" borderId="0" xfId="0" applyNumberFormat="1" applyFont="1" applyFill="1"/>
    <xf numFmtId="0" fontId="0" fillId="6" borderId="0" xfId="0" applyFill="1"/>
    <xf numFmtId="0" fontId="1" fillId="6" borderId="0" xfId="0" applyFont="1" applyFill="1"/>
    <xf numFmtId="0" fontId="0" fillId="7" borderId="0" xfId="0" applyFill="1"/>
    <xf numFmtId="0" fontId="1" fillId="7" borderId="0" xfId="0" applyFont="1" applyFill="1"/>
    <xf numFmtId="0" fontId="0" fillId="8" borderId="0" xfId="0" applyFill="1"/>
    <xf numFmtId="0" fontId="5" fillId="8" borderId="0" xfId="0" applyFont="1" applyFill="1"/>
    <xf numFmtId="0" fontId="1" fillId="9" borderId="1" xfId="0" applyFont="1" applyFill="1" applyBorder="1"/>
    <xf numFmtId="0" fontId="1" fillId="9" borderId="2" xfId="0" applyFont="1" applyFill="1" applyBorder="1"/>
    <xf numFmtId="1" fontId="1" fillId="9" borderId="2" xfId="0" applyNumberFormat="1" applyFont="1" applyFill="1" applyBorder="1"/>
    <xf numFmtId="0" fontId="1" fillId="9" borderId="3" xfId="0" applyFont="1" applyFill="1" applyBorder="1"/>
    <xf numFmtId="0" fontId="1" fillId="8" borderId="0" xfId="0" applyFont="1" applyFill="1"/>
  </cellXfs>
  <cellStyles count="1">
    <cellStyle name="Normal" xfId="0" builtinId="0"/>
  </cellStyles>
  <dxfs count="69">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 formatCode="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onnections" Target="connections.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2.xml"/><Relationship Id="rId15" Type="http://schemas.microsoft.com/office/2017/10/relationships/person" Target="persons/person.xml"/><Relationship Id="rId10" Type="http://schemas.microsoft.com/office/2007/relationships/slicerCache" Target="slicerCaches/slicerCache5.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[Nikhil_Jangid_Excel_Project.xlsx]Pivot Tables!PivotTable1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Prices</a:t>
            </a:r>
            <a:r>
              <a:rPr lang="en-IN" baseline="0"/>
              <a:t> and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Tables'!$B$9</c:f>
              <c:strCache>
                <c:ptCount val="1"/>
                <c:pt idx="0">
                  <c:v>Sum of Total Sales (INR)</c:v>
                </c:pt>
              </c:strCache>
            </c:strRef>
          </c:tx>
          <c:spPr>
            <a:solidFill>
              <a:schemeClr val="accent1"/>
            </a:solidFill>
            <a:ln>
              <a:noFill/>
            </a:ln>
            <a:effectLst/>
            <a:sp3d/>
          </c:spPr>
          <c:invertIfNegative val="0"/>
          <c:cat>
            <c:strRef>
              <c:f>'Pivot Tables'!$A$10:$A$15</c:f>
              <c:strCache>
                <c:ptCount val="5"/>
                <c:pt idx="0">
                  <c:v>Beauty</c:v>
                </c:pt>
                <c:pt idx="1">
                  <c:v>Books</c:v>
                </c:pt>
                <c:pt idx="2">
                  <c:v>Clothing</c:v>
                </c:pt>
                <c:pt idx="3">
                  <c:v>Electronics</c:v>
                </c:pt>
                <c:pt idx="4">
                  <c:v>Home &amp; Kitchen</c:v>
                </c:pt>
              </c:strCache>
            </c:strRef>
          </c:cat>
          <c:val>
            <c:numRef>
              <c:f>'Pivot Tables'!$B$10:$B$15</c:f>
              <c:numCache>
                <c:formatCode>0</c:formatCode>
                <c:ptCount val="5"/>
                <c:pt idx="0">
                  <c:v>10681406.179999996</c:v>
                </c:pt>
                <c:pt idx="1">
                  <c:v>10445289.959999995</c:v>
                </c:pt>
                <c:pt idx="2">
                  <c:v>11261258.699999997</c:v>
                </c:pt>
                <c:pt idx="3">
                  <c:v>12443538.850000003</c:v>
                </c:pt>
                <c:pt idx="4">
                  <c:v>8547011.5800000001</c:v>
                </c:pt>
              </c:numCache>
            </c:numRef>
          </c:val>
          <c:extLst>
            <c:ext xmlns:c16="http://schemas.microsoft.com/office/drawing/2014/chart" uri="{C3380CC4-5D6E-409C-BE32-E72D297353CC}">
              <c16:uniqueId val="{00000000-00A2-4302-95B7-E41468555F6D}"/>
            </c:ext>
          </c:extLst>
        </c:ser>
        <c:ser>
          <c:idx val="1"/>
          <c:order val="1"/>
          <c:tx>
            <c:strRef>
              <c:f>'Pivot Tables'!$C$9</c:f>
              <c:strCache>
                <c:ptCount val="1"/>
                <c:pt idx="0">
                  <c:v>Sum of Price (INR)</c:v>
                </c:pt>
              </c:strCache>
            </c:strRef>
          </c:tx>
          <c:spPr>
            <a:solidFill>
              <a:schemeClr val="accent2"/>
            </a:solidFill>
            <a:ln>
              <a:noFill/>
            </a:ln>
            <a:effectLst/>
            <a:sp3d/>
          </c:spPr>
          <c:invertIfNegative val="0"/>
          <c:cat>
            <c:strRef>
              <c:f>'Pivot Tables'!$A$10:$A$15</c:f>
              <c:strCache>
                <c:ptCount val="5"/>
                <c:pt idx="0">
                  <c:v>Beauty</c:v>
                </c:pt>
                <c:pt idx="1">
                  <c:v>Books</c:v>
                </c:pt>
                <c:pt idx="2">
                  <c:v>Clothing</c:v>
                </c:pt>
                <c:pt idx="3">
                  <c:v>Electronics</c:v>
                </c:pt>
                <c:pt idx="4">
                  <c:v>Home &amp; Kitchen</c:v>
                </c:pt>
              </c:strCache>
            </c:strRef>
          </c:cat>
          <c:val>
            <c:numRef>
              <c:f>'Pivot Tables'!$C$10:$C$15</c:f>
              <c:numCache>
                <c:formatCode>0</c:formatCode>
                <c:ptCount val="5"/>
                <c:pt idx="0">
                  <c:v>3350049.2099999986</c:v>
                </c:pt>
                <c:pt idx="1">
                  <c:v>3386136.7499999995</c:v>
                </c:pt>
                <c:pt idx="2">
                  <c:v>3550410.2799999975</c:v>
                </c:pt>
                <c:pt idx="3">
                  <c:v>4057938.81</c:v>
                </c:pt>
                <c:pt idx="4">
                  <c:v>3004000.1399999992</c:v>
                </c:pt>
              </c:numCache>
            </c:numRef>
          </c:val>
          <c:extLst>
            <c:ext xmlns:c16="http://schemas.microsoft.com/office/drawing/2014/chart" uri="{C3380CC4-5D6E-409C-BE32-E72D297353CC}">
              <c16:uniqueId val="{00000001-00A2-4302-95B7-E41468555F6D}"/>
            </c:ext>
          </c:extLst>
        </c:ser>
        <c:dLbls>
          <c:showLegendKey val="0"/>
          <c:showVal val="0"/>
          <c:showCatName val="0"/>
          <c:showSerName val="0"/>
          <c:showPercent val="0"/>
          <c:showBubbleSize val="0"/>
        </c:dLbls>
        <c:gapWidth val="150"/>
        <c:shape val="box"/>
        <c:axId val="440253568"/>
        <c:axId val="440244928"/>
        <c:axId val="0"/>
      </c:bar3DChart>
      <c:catAx>
        <c:axId val="44025356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244928"/>
        <c:crosses val="autoZero"/>
        <c:auto val="1"/>
        <c:lblAlgn val="ctr"/>
        <c:lblOffset val="100"/>
        <c:noMultiLvlLbl val="0"/>
      </c:catAx>
      <c:valAx>
        <c:axId val="4402449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0253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Payment</a:t>
            </a:r>
            <a:r>
              <a:rPr lang="en-IN" baseline="0"/>
              <a:t> Method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6"/>
              <c:pt idx="0">
                <c:v>COD</c:v>
              </c:pt>
              <c:pt idx="1">
                <c:v>Credit Card</c:v>
              </c:pt>
              <c:pt idx="2">
                <c:v>Debit Card</c:v>
              </c:pt>
              <c:pt idx="3">
                <c:v>Net Banking</c:v>
              </c:pt>
              <c:pt idx="4">
                <c:v>UPI</c:v>
              </c:pt>
              <c:pt idx="5">
                <c:v>Wallet</c:v>
              </c:pt>
            </c:strLit>
          </c:cat>
          <c:val>
            <c:numLit>
              <c:formatCode>General</c:formatCode>
              <c:ptCount val="6"/>
              <c:pt idx="0">
                <c:v>0.15864625259110404</c:v>
              </c:pt>
              <c:pt idx="1">
                <c:v>0.15017863575331999</c:v>
              </c:pt>
              <c:pt idx="2">
                <c:v>0.16800404553553736</c:v>
              </c:pt>
              <c:pt idx="3">
                <c:v>0.1708186588192937</c:v>
              </c:pt>
              <c:pt idx="4">
                <c:v>0.17019410348880307</c:v>
              </c:pt>
              <c:pt idx="5">
                <c:v>0.1821583038119419</c:v>
              </c:pt>
            </c:numLit>
          </c:val>
          <c:extLst>
            <c:ext xmlns:c16="http://schemas.microsoft.com/office/drawing/2014/chart" uri="{C3380CC4-5D6E-409C-BE32-E72D297353CC}">
              <c16:uniqueId val="{00000000-3924-4266-9774-9863E360F94E}"/>
            </c:ext>
          </c:extLst>
        </c:ser>
        <c:dLbls>
          <c:showLegendKey val="0"/>
          <c:showVal val="0"/>
          <c:showCatName val="0"/>
          <c:showSerName val="0"/>
          <c:showPercent val="0"/>
          <c:showBubbleSize val="0"/>
        </c:dLbls>
        <c:gapWidth val="219"/>
        <c:overlap val="-27"/>
        <c:axId val="1703895616"/>
        <c:axId val="1703899456"/>
      </c:barChart>
      <c:catAx>
        <c:axId val="1703895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899456"/>
        <c:crosses val="autoZero"/>
        <c:auto val="1"/>
        <c:lblAlgn val="ctr"/>
        <c:lblOffset val="100"/>
        <c:noMultiLvlLbl val="0"/>
      </c:catAx>
      <c:valAx>
        <c:axId val="1703899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3895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[Nikhil_Jangid_Excel_Project.xlsx]Pivot Tables!PivotTable9</c:name>
    <c:fmtId val="5"/>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categorywise sales</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pivotFmt>
    </c:pivotFmts>
    <c:plotArea>
      <c:layout/>
      <c:barChart>
        <c:barDir val="bar"/>
        <c:grouping val="clustered"/>
        <c:varyColors val="0"/>
        <c:ser>
          <c:idx val="0"/>
          <c:order val="0"/>
          <c:tx>
            <c:strRef>
              <c:f>'Pivot Tables'!$B$22:$B$23</c:f>
              <c:strCache>
                <c:ptCount val="1"/>
                <c:pt idx="0">
                  <c:v>COD</c:v>
                </c:pt>
              </c:strCache>
            </c:strRef>
          </c:tx>
          <c:spPr>
            <a:solidFill>
              <a:schemeClr val="accent1"/>
            </a:solidFill>
            <a:ln>
              <a:noFill/>
            </a:ln>
            <a:effectLst/>
          </c:spPr>
          <c:invertIfNegative val="0"/>
          <c:cat>
            <c:strRef>
              <c:f>'Pivot Tables'!$A$24:$A$29</c:f>
              <c:strCache>
                <c:ptCount val="5"/>
                <c:pt idx="0">
                  <c:v>Beauty</c:v>
                </c:pt>
                <c:pt idx="1">
                  <c:v>Books</c:v>
                </c:pt>
                <c:pt idx="2">
                  <c:v>Clothing</c:v>
                </c:pt>
                <c:pt idx="3">
                  <c:v>Electronics</c:v>
                </c:pt>
                <c:pt idx="4">
                  <c:v>Home &amp; Kitchen</c:v>
                </c:pt>
              </c:strCache>
            </c:strRef>
          </c:cat>
          <c:val>
            <c:numRef>
              <c:f>'Pivot Tables'!$B$24:$B$29</c:f>
              <c:numCache>
                <c:formatCode>0</c:formatCode>
                <c:ptCount val="5"/>
                <c:pt idx="0">
                  <c:v>2363837.9299999997</c:v>
                </c:pt>
                <c:pt idx="1">
                  <c:v>697686.85000000009</c:v>
                </c:pt>
                <c:pt idx="2">
                  <c:v>1716855.1300000001</c:v>
                </c:pt>
                <c:pt idx="3">
                  <c:v>2485844.0199999996</c:v>
                </c:pt>
                <c:pt idx="4">
                  <c:v>1204075.8999999999</c:v>
                </c:pt>
              </c:numCache>
            </c:numRef>
          </c:val>
          <c:extLst>
            <c:ext xmlns:c16="http://schemas.microsoft.com/office/drawing/2014/chart" uri="{C3380CC4-5D6E-409C-BE32-E72D297353CC}">
              <c16:uniqueId val="{00000000-5374-4D9A-8B7C-658AC238E999}"/>
            </c:ext>
          </c:extLst>
        </c:ser>
        <c:ser>
          <c:idx val="1"/>
          <c:order val="1"/>
          <c:tx>
            <c:strRef>
              <c:f>'Pivot Tables'!$C$22:$C$23</c:f>
              <c:strCache>
                <c:ptCount val="1"/>
                <c:pt idx="0">
                  <c:v>Credit Card</c:v>
                </c:pt>
              </c:strCache>
            </c:strRef>
          </c:tx>
          <c:spPr>
            <a:solidFill>
              <a:schemeClr val="accent2"/>
            </a:solidFill>
            <a:ln>
              <a:noFill/>
            </a:ln>
            <a:effectLst/>
          </c:spPr>
          <c:invertIfNegative val="0"/>
          <c:cat>
            <c:strRef>
              <c:f>'Pivot Tables'!$A$24:$A$29</c:f>
              <c:strCache>
                <c:ptCount val="5"/>
                <c:pt idx="0">
                  <c:v>Beauty</c:v>
                </c:pt>
                <c:pt idx="1">
                  <c:v>Books</c:v>
                </c:pt>
                <c:pt idx="2">
                  <c:v>Clothing</c:v>
                </c:pt>
                <c:pt idx="3">
                  <c:v>Electronics</c:v>
                </c:pt>
                <c:pt idx="4">
                  <c:v>Home &amp; Kitchen</c:v>
                </c:pt>
              </c:strCache>
            </c:strRef>
          </c:cat>
          <c:val>
            <c:numRef>
              <c:f>'Pivot Tables'!$C$24:$C$29</c:f>
              <c:numCache>
                <c:formatCode>0</c:formatCode>
                <c:ptCount val="5"/>
                <c:pt idx="0">
                  <c:v>1986151.4100000004</c:v>
                </c:pt>
                <c:pt idx="1">
                  <c:v>1532464.7</c:v>
                </c:pt>
                <c:pt idx="2">
                  <c:v>1495695.5000000005</c:v>
                </c:pt>
                <c:pt idx="3">
                  <c:v>1706488.7999999998</c:v>
                </c:pt>
                <c:pt idx="4">
                  <c:v>1295510.6900000002</c:v>
                </c:pt>
              </c:numCache>
            </c:numRef>
          </c:val>
          <c:extLst>
            <c:ext xmlns:c16="http://schemas.microsoft.com/office/drawing/2014/chart" uri="{C3380CC4-5D6E-409C-BE32-E72D297353CC}">
              <c16:uniqueId val="{00000000-B619-40C7-9429-3E2C9CF1384B}"/>
            </c:ext>
          </c:extLst>
        </c:ser>
        <c:ser>
          <c:idx val="2"/>
          <c:order val="2"/>
          <c:tx>
            <c:strRef>
              <c:f>'Pivot Tables'!$D$22:$D$23</c:f>
              <c:strCache>
                <c:ptCount val="1"/>
                <c:pt idx="0">
                  <c:v>Debit Card</c:v>
                </c:pt>
              </c:strCache>
            </c:strRef>
          </c:tx>
          <c:spPr>
            <a:solidFill>
              <a:schemeClr val="accent3"/>
            </a:solidFill>
            <a:ln>
              <a:noFill/>
            </a:ln>
            <a:effectLst/>
          </c:spPr>
          <c:invertIfNegative val="0"/>
          <c:cat>
            <c:strRef>
              <c:f>'Pivot Tables'!$A$24:$A$29</c:f>
              <c:strCache>
                <c:ptCount val="5"/>
                <c:pt idx="0">
                  <c:v>Beauty</c:v>
                </c:pt>
                <c:pt idx="1">
                  <c:v>Books</c:v>
                </c:pt>
                <c:pt idx="2">
                  <c:v>Clothing</c:v>
                </c:pt>
                <c:pt idx="3">
                  <c:v>Electronics</c:v>
                </c:pt>
                <c:pt idx="4">
                  <c:v>Home &amp; Kitchen</c:v>
                </c:pt>
              </c:strCache>
            </c:strRef>
          </c:cat>
          <c:val>
            <c:numRef>
              <c:f>'Pivot Tables'!$D$24:$D$29</c:f>
              <c:numCache>
                <c:formatCode>0</c:formatCode>
                <c:ptCount val="5"/>
                <c:pt idx="0">
                  <c:v>748894.58</c:v>
                </c:pt>
                <c:pt idx="1">
                  <c:v>2316680.2799999998</c:v>
                </c:pt>
                <c:pt idx="2">
                  <c:v>1913547.3299999998</c:v>
                </c:pt>
                <c:pt idx="3">
                  <c:v>2360154.8499999996</c:v>
                </c:pt>
                <c:pt idx="4">
                  <c:v>1628527.7900000003</c:v>
                </c:pt>
              </c:numCache>
            </c:numRef>
          </c:val>
          <c:extLst>
            <c:ext xmlns:c16="http://schemas.microsoft.com/office/drawing/2014/chart" uri="{C3380CC4-5D6E-409C-BE32-E72D297353CC}">
              <c16:uniqueId val="{00000001-B619-40C7-9429-3E2C9CF1384B}"/>
            </c:ext>
          </c:extLst>
        </c:ser>
        <c:ser>
          <c:idx val="3"/>
          <c:order val="3"/>
          <c:tx>
            <c:strRef>
              <c:f>'Pivot Tables'!$E$22:$E$23</c:f>
              <c:strCache>
                <c:ptCount val="1"/>
                <c:pt idx="0">
                  <c:v>Net Banking</c:v>
                </c:pt>
              </c:strCache>
            </c:strRef>
          </c:tx>
          <c:spPr>
            <a:solidFill>
              <a:schemeClr val="accent4"/>
            </a:solidFill>
            <a:ln>
              <a:noFill/>
            </a:ln>
            <a:effectLst/>
          </c:spPr>
          <c:invertIfNegative val="0"/>
          <c:cat>
            <c:strRef>
              <c:f>'Pivot Tables'!$A$24:$A$29</c:f>
              <c:strCache>
                <c:ptCount val="5"/>
                <c:pt idx="0">
                  <c:v>Beauty</c:v>
                </c:pt>
                <c:pt idx="1">
                  <c:v>Books</c:v>
                </c:pt>
                <c:pt idx="2">
                  <c:v>Clothing</c:v>
                </c:pt>
                <c:pt idx="3">
                  <c:v>Electronics</c:v>
                </c:pt>
                <c:pt idx="4">
                  <c:v>Home &amp; Kitchen</c:v>
                </c:pt>
              </c:strCache>
            </c:strRef>
          </c:cat>
          <c:val>
            <c:numRef>
              <c:f>'Pivot Tables'!$E$24:$E$29</c:f>
              <c:numCache>
                <c:formatCode>0</c:formatCode>
                <c:ptCount val="5"/>
                <c:pt idx="0">
                  <c:v>2008162.23</c:v>
                </c:pt>
                <c:pt idx="1">
                  <c:v>1736329.6099999999</c:v>
                </c:pt>
                <c:pt idx="2">
                  <c:v>2243779.7999999998</c:v>
                </c:pt>
                <c:pt idx="3">
                  <c:v>1841254.14</c:v>
                </c:pt>
                <c:pt idx="4">
                  <c:v>1288518.8999999999</c:v>
                </c:pt>
              </c:numCache>
            </c:numRef>
          </c:val>
          <c:extLst>
            <c:ext xmlns:c16="http://schemas.microsoft.com/office/drawing/2014/chart" uri="{C3380CC4-5D6E-409C-BE32-E72D297353CC}">
              <c16:uniqueId val="{00000002-B619-40C7-9429-3E2C9CF1384B}"/>
            </c:ext>
          </c:extLst>
        </c:ser>
        <c:ser>
          <c:idx val="4"/>
          <c:order val="4"/>
          <c:tx>
            <c:strRef>
              <c:f>'Pivot Tables'!$F$22:$F$23</c:f>
              <c:strCache>
                <c:ptCount val="1"/>
                <c:pt idx="0">
                  <c:v>UPI</c:v>
                </c:pt>
              </c:strCache>
            </c:strRef>
          </c:tx>
          <c:spPr>
            <a:solidFill>
              <a:schemeClr val="accent5"/>
            </a:solidFill>
            <a:ln>
              <a:noFill/>
            </a:ln>
            <a:effectLst/>
          </c:spPr>
          <c:invertIfNegative val="0"/>
          <c:cat>
            <c:strRef>
              <c:f>'Pivot Tables'!$A$24:$A$29</c:f>
              <c:strCache>
                <c:ptCount val="5"/>
                <c:pt idx="0">
                  <c:v>Beauty</c:v>
                </c:pt>
                <c:pt idx="1">
                  <c:v>Books</c:v>
                </c:pt>
                <c:pt idx="2">
                  <c:v>Clothing</c:v>
                </c:pt>
                <c:pt idx="3">
                  <c:v>Electronics</c:v>
                </c:pt>
                <c:pt idx="4">
                  <c:v>Home &amp; Kitchen</c:v>
                </c:pt>
              </c:strCache>
            </c:strRef>
          </c:cat>
          <c:val>
            <c:numRef>
              <c:f>'Pivot Tables'!$F$24:$F$29</c:f>
              <c:numCache>
                <c:formatCode>0</c:formatCode>
                <c:ptCount val="5"/>
                <c:pt idx="0">
                  <c:v>2297860.9900000002</c:v>
                </c:pt>
                <c:pt idx="1">
                  <c:v>2019661.72</c:v>
                </c:pt>
                <c:pt idx="2">
                  <c:v>1578206.9100000001</c:v>
                </c:pt>
                <c:pt idx="3">
                  <c:v>2081006.9800000002</c:v>
                </c:pt>
                <c:pt idx="4">
                  <c:v>1107970.2500000002</c:v>
                </c:pt>
              </c:numCache>
            </c:numRef>
          </c:val>
          <c:extLst>
            <c:ext xmlns:c16="http://schemas.microsoft.com/office/drawing/2014/chart" uri="{C3380CC4-5D6E-409C-BE32-E72D297353CC}">
              <c16:uniqueId val="{00000003-B619-40C7-9429-3E2C9CF1384B}"/>
            </c:ext>
          </c:extLst>
        </c:ser>
        <c:ser>
          <c:idx val="5"/>
          <c:order val="5"/>
          <c:tx>
            <c:strRef>
              <c:f>'Pivot Tables'!$G$22:$G$23</c:f>
              <c:strCache>
                <c:ptCount val="1"/>
                <c:pt idx="0">
                  <c:v>Wallet</c:v>
                </c:pt>
              </c:strCache>
            </c:strRef>
          </c:tx>
          <c:spPr>
            <a:solidFill>
              <a:schemeClr val="accent6"/>
            </a:solidFill>
            <a:ln>
              <a:noFill/>
            </a:ln>
            <a:effectLst/>
          </c:spPr>
          <c:invertIfNegative val="0"/>
          <c:cat>
            <c:strRef>
              <c:f>'Pivot Tables'!$A$24:$A$29</c:f>
              <c:strCache>
                <c:ptCount val="5"/>
                <c:pt idx="0">
                  <c:v>Beauty</c:v>
                </c:pt>
                <c:pt idx="1">
                  <c:v>Books</c:v>
                </c:pt>
                <c:pt idx="2">
                  <c:v>Clothing</c:v>
                </c:pt>
                <c:pt idx="3">
                  <c:v>Electronics</c:v>
                </c:pt>
                <c:pt idx="4">
                  <c:v>Home &amp; Kitchen</c:v>
                </c:pt>
              </c:strCache>
            </c:strRef>
          </c:cat>
          <c:val>
            <c:numRef>
              <c:f>'Pivot Tables'!$G$24:$G$29</c:f>
              <c:numCache>
                <c:formatCode>0</c:formatCode>
                <c:ptCount val="5"/>
                <c:pt idx="0">
                  <c:v>1276499.0399999998</c:v>
                </c:pt>
                <c:pt idx="1">
                  <c:v>2142466.7999999998</c:v>
                </c:pt>
                <c:pt idx="2">
                  <c:v>2313174.0299999998</c:v>
                </c:pt>
                <c:pt idx="3">
                  <c:v>1968790.06</c:v>
                </c:pt>
                <c:pt idx="4">
                  <c:v>2022408.05</c:v>
                </c:pt>
              </c:numCache>
            </c:numRef>
          </c:val>
          <c:extLst>
            <c:ext xmlns:c16="http://schemas.microsoft.com/office/drawing/2014/chart" uri="{C3380CC4-5D6E-409C-BE32-E72D297353CC}">
              <c16:uniqueId val="{00000005-B619-40C7-9429-3E2C9CF1384B}"/>
            </c:ext>
          </c:extLst>
        </c:ser>
        <c:dLbls>
          <c:showLegendKey val="0"/>
          <c:showVal val="0"/>
          <c:showCatName val="0"/>
          <c:showSerName val="0"/>
          <c:showPercent val="0"/>
          <c:showBubbleSize val="0"/>
        </c:dLbls>
        <c:gapWidth val="269"/>
        <c:axId val="1804541120"/>
        <c:axId val="1804541600"/>
      </c:barChart>
      <c:catAx>
        <c:axId val="18045411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804541600"/>
        <c:crosses val="autoZero"/>
        <c:auto val="1"/>
        <c:lblAlgn val="ctr"/>
        <c:lblOffset val="100"/>
        <c:noMultiLvlLbl val="0"/>
      </c:catAx>
      <c:valAx>
        <c:axId val="1804541600"/>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4541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[Nikhil_Jangid_Excel_Project.xlsx]Pivot Tables!PivotTable10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t>
            </a:r>
            <a:r>
              <a:rPr lang="en-IN" baseline="0"/>
              <a:t> sales in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doughnutChart>
        <c:varyColors val="1"/>
        <c:ser>
          <c:idx val="0"/>
          <c:order val="0"/>
          <c:tx>
            <c:strRef>
              <c:f>'Pivot Tables'!$B$35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7DC-4C94-A86C-DCCB0F466D0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7DC-4C94-A86C-DCCB0F466D0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7DC-4C94-A86C-DCCB0F466D0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7DC-4C94-A86C-DCCB0F466D0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7DC-4C94-A86C-DCCB0F466D09}"/>
              </c:ext>
            </c:extLst>
          </c:dPt>
          <c:cat>
            <c:strRef>
              <c:f>'Pivot Tables'!$A$36:$A$41</c:f>
              <c:strCache>
                <c:ptCount val="5"/>
                <c:pt idx="0">
                  <c:v>Beauty</c:v>
                </c:pt>
                <c:pt idx="1">
                  <c:v>Books</c:v>
                </c:pt>
                <c:pt idx="2">
                  <c:v>Clothing</c:v>
                </c:pt>
                <c:pt idx="3">
                  <c:v>Electronics</c:v>
                </c:pt>
                <c:pt idx="4">
                  <c:v>Home &amp; Kitchen</c:v>
                </c:pt>
              </c:strCache>
            </c:strRef>
          </c:cat>
          <c:val>
            <c:numRef>
              <c:f>'Pivot Tables'!$B$36:$B$41</c:f>
              <c:numCache>
                <c:formatCode>0.00%</c:formatCode>
                <c:ptCount val="5"/>
                <c:pt idx="0">
                  <c:v>0.20010688058744133</c:v>
                </c:pt>
                <c:pt idx="1">
                  <c:v>0.19568344799400933</c:v>
                </c:pt>
                <c:pt idx="2">
                  <c:v>0.21096991463208126</c:v>
                </c:pt>
                <c:pt idx="3">
                  <c:v>0.23311890782737174</c:v>
                </c:pt>
                <c:pt idx="4">
                  <c:v>0.16012084895909642</c:v>
                </c:pt>
              </c:numCache>
            </c:numRef>
          </c:val>
          <c:extLst>
            <c:ext xmlns:c16="http://schemas.microsoft.com/office/drawing/2014/chart" uri="{C3380CC4-5D6E-409C-BE32-E72D297353CC}">
              <c16:uniqueId val="{0000000A-77DC-4C94-A86C-DCCB0F466D0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[Nikhil_Jangid_Excel_Project.xlsx]Pivot Tables!PivotTable2</c:name>
    <c:fmtId val="3"/>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Tables'!$F$35:$F$37</c:f>
              <c:strCache>
                <c:ptCount val="1"/>
                <c:pt idx="0">
                  <c:v>2024</c:v>
                </c:pt>
              </c:strCache>
            </c:strRef>
          </c:tx>
          <c:spPr>
            <a:solidFill>
              <a:schemeClr val="accent1"/>
            </a:solidFill>
            <a:ln>
              <a:noFill/>
            </a:ln>
            <a:effectLst/>
            <a:sp3d/>
          </c:spPr>
          <c:invertIfNegative val="0"/>
          <c:cat>
            <c:strRef>
              <c:f>'Pivot Tables'!$E$38:$E$43</c:f>
              <c:strCache>
                <c:ptCount val="5"/>
                <c:pt idx="0">
                  <c:v>Beauty</c:v>
                </c:pt>
                <c:pt idx="1">
                  <c:v>Books</c:v>
                </c:pt>
                <c:pt idx="2">
                  <c:v>Clothing</c:v>
                </c:pt>
                <c:pt idx="3">
                  <c:v>Electronics</c:v>
                </c:pt>
                <c:pt idx="4">
                  <c:v>Home &amp; Kitchen</c:v>
                </c:pt>
              </c:strCache>
            </c:strRef>
          </c:cat>
          <c:val>
            <c:numRef>
              <c:f>'Pivot Tables'!$F$38:$F$43</c:f>
              <c:numCache>
                <c:formatCode>General</c:formatCode>
                <c:ptCount val="5"/>
                <c:pt idx="0">
                  <c:v>366</c:v>
                </c:pt>
                <c:pt idx="1">
                  <c:v>408</c:v>
                </c:pt>
                <c:pt idx="2">
                  <c:v>380</c:v>
                </c:pt>
                <c:pt idx="3">
                  <c:v>427</c:v>
                </c:pt>
                <c:pt idx="4">
                  <c:v>327</c:v>
                </c:pt>
              </c:numCache>
            </c:numRef>
          </c:val>
          <c:extLst>
            <c:ext xmlns:c16="http://schemas.microsoft.com/office/drawing/2014/chart" uri="{C3380CC4-5D6E-409C-BE32-E72D297353CC}">
              <c16:uniqueId val="{00000000-11A5-443D-9E08-5DB9199804E8}"/>
            </c:ext>
          </c:extLst>
        </c:ser>
        <c:ser>
          <c:idx val="1"/>
          <c:order val="1"/>
          <c:tx>
            <c:strRef>
              <c:f>'Pivot Tables'!$G$35:$G$37</c:f>
              <c:strCache>
                <c:ptCount val="1"/>
                <c:pt idx="0">
                  <c:v>2025</c:v>
                </c:pt>
              </c:strCache>
            </c:strRef>
          </c:tx>
          <c:spPr>
            <a:solidFill>
              <a:schemeClr val="accent2"/>
            </a:solidFill>
            <a:ln>
              <a:noFill/>
            </a:ln>
            <a:effectLst/>
            <a:sp3d/>
          </c:spPr>
          <c:invertIfNegative val="0"/>
          <c:cat>
            <c:strRef>
              <c:f>'Pivot Tables'!$E$38:$E$43</c:f>
              <c:strCache>
                <c:ptCount val="5"/>
                <c:pt idx="0">
                  <c:v>Beauty</c:v>
                </c:pt>
                <c:pt idx="1">
                  <c:v>Books</c:v>
                </c:pt>
                <c:pt idx="2">
                  <c:v>Clothing</c:v>
                </c:pt>
                <c:pt idx="3">
                  <c:v>Electronics</c:v>
                </c:pt>
                <c:pt idx="4">
                  <c:v>Home &amp; Kitchen</c:v>
                </c:pt>
              </c:strCache>
            </c:strRef>
          </c:cat>
          <c:val>
            <c:numRef>
              <c:f>'Pivot Tables'!$G$38:$G$43</c:f>
              <c:numCache>
                <c:formatCode>General</c:formatCode>
                <c:ptCount val="5"/>
                <c:pt idx="0">
                  <c:v>50</c:v>
                </c:pt>
                <c:pt idx="1">
                  <c:v>42</c:v>
                </c:pt>
                <c:pt idx="2">
                  <c:v>59</c:v>
                </c:pt>
                <c:pt idx="3">
                  <c:v>69</c:v>
                </c:pt>
                <c:pt idx="4">
                  <c:v>34</c:v>
                </c:pt>
              </c:numCache>
            </c:numRef>
          </c:val>
          <c:extLst>
            <c:ext xmlns:c16="http://schemas.microsoft.com/office/drawing/2014/chart" uri="{C3380CC4-5D6E-409C-BE32-E72D297353CC}">
              <c16:uniqueId val="{00000002-4331-4609-9966-9BFCFF2232AD}"/>
            </c:ext>
          </c:extLst>
        </c:ser>
        <c:dLbls>
          <c:showLegendKey val="0"/>
          <c:showVal val="0"/>
          <c:showCatName val="0"/>
          <c:showSerName val="0"/>
          <c:showPercent val="0"/>
          <c:showBubbleSize val="0"/>
        </c:dLbls>
        <c:gapWidth val="150"/>
        <c:shape val="box"/>
        <c:axId val="638966319"/>
        <c:axId val="638966799"/>
        <c:axId val="0"/>
      </c:bar3DChart>
      <c:catAx>
        <c:axId val="6389663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966799"/>
        <c:crosses val="autoZero"/>
        <c:auto val="1"/>
        <c:lblAlgn val="ctr"/>
        <c:lblOffset val="100"/>
        <c:noMultiLvlLbl val="0"/>
      </c:catAx>
      <c:valAx>
        <c:axId val="638966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89663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[Nikhil_Jangid_Excel_Project.xlsx]Pivot Tables!PivotTable4</c:name>
    <c:fmtId val="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average product rating</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Tables'!$B$69</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'Pivot Tables'!$A$70:$A$95</c:f>
              <c:strCache>
                <c:ptCount val="25"/>
                <c:pt idx="0">
                  <c:v>Bedsheet</c:v>
                </c:pt>
                <c:pt idx="1">
                  <c:v>Comic Book</c:v>
                </c:pt>
                <c:pt idx="2">
                  <c:v>Cookbook</c:v>
                </c:pt>
                <c:pt idx="3">
                  <c:v>Cookware Set</c:v>
                </c:pt>
                <c:pt idx="4">
                  <c:v>Dress</c:v>
                </c:pt>
                <c:pt idx="5">
                  <c:v>Educational Book</c:v>
                </c:pt>
                <c:pt idx="6">
                  <c:v>Face Cream</c:v>
                </c:pt>
                <c:pt idx="7">
                  <c:v>Fiction Novel</c:v>
                </c:pt>
                <c:pt idx="8">
                  <c:v>Hair Dryer</c:v>
                </c:pt>
                <c:pt idx="9">
                  <c:v>Headphones</c:v>
                </c:pt>
                <c:pt idx="10">
                  <c:v>Jacket</c:v>
                </c:pt>
                <c:pt idx="11">
                  <c:v>Jeans</c:v>
                </c:pt>
                <c:pt idx="12">
                  <c:v>Laptop</c:v>
                </c:pt>
                <c:pt idx="13">
                  <c:v>Lipstick</c:v>
                </c:pt>
                <c:pt idx="14">
                  <c:v>Mixer Grinder</c:v>
                </c:pt>
                <c:pt idx="15">
                  <c:v>Perfume</c:v>
                </c:pt>
                <c:pt idx="16">
                  <c:v>Self-Help Book</c:v>
                </c:pt>
                <c:pt idx="17">
                  <c:v>Shampoo</c:v>
                </c:pt>
                <c:pt idx="18">
                  <c:v>Smartphone</c:v>
                </c:pt>
                <c:pt idx="19">
                  <c:v>Smartwatch</c:v>
                </c:pt>
                <c:pt idx="20">
                  <c:v>Sneakers</c:v>
                </c:pt>
                <c:pt idx="21">
                  <c:v>Sofa Cover</c:v>
                </c:pt>
                <c:pt idx="22">
                  <c:v>Table Lamp</c:v>
                </c:pt>
                <c:pt idx="23">
                  <c:v>Tablet</c:v>
                </c:pt>
                <c:pt idx="24">
                  <c:v>T-Shirt</c:v>
                </c:pt>
              </c:strCache>
            </c:strRef>
          </c:cat>
          <c:val>
            <c:numRef>
              <c:f>'Pivot Tables'!$B$70:$B$95</c:f>
              <c:numCache>
                <c:formatCode>0.00</c:formatCode>
                <c:ptCount val="25"/>
                <c:pt idx="0">
                  <c:v>3.7833333333333328</c:v>
                </c:pt>
                <c:pt idx="1">
                  <c:v>3.3416666666666663</c:v>
                </c:pt>
                <c:pt idx="2">
                  <c:v>3.0571428571428565</c:v>
                </c:pt>
                <c:pt idx="3">
                  <c:v>3.1296296296296302</c:v>
                </c:pt>
                <c:pt idx="4">
                  <c:v>3.1894736842105256</c:v>
                </c:pt>
                <c:pt idx="5">
                  <c:v>3.0086956521739139</c:v>
                </c:pt>
                <c:pt idx="6">
                  <c:v>2.9629629629629637</c:v>
                </c:pt>
                <c:pt idx="7">
                  <c:v>2.9521739130434779</c:v>
                </c:pt>
                <c:pt idx="8">
                  <c:v>2.74</c:v>
                </c:pt>
                <c:pt idx="9">
                  <c:v>2.8531250000000004</c:v>
                </c:pt>
                <c:pt idx="10">
                  <c:v>2.9966666666666657</c:v>
                </c:pt>
                <c:pt idx="11">
                  <c:v>3.1074074074074076</c:v>
                </c:pt>
                <c:pt idx="12">
                  <c:v>3.015625</c:v>
                </c:pt>
                <c:pt idx="13">
                  <c:v>2.7407407407407414</c:v>
                </c:pt>
                <c:pt idx="14">
                  <c:v>2.9333333333333331</c:v>
                </c:pt>
                <c:pt idx="15">
                  <c:v>3.1709677419354843</c:v>
                </c:pt>
                <c:pt idx="16">
                  <c:v>2.8379310344827582</c:v>
                </c:pt>
                <c:pt idx="17">
                  <c:v>2.7653846153846158</c:v>
                </c:pt>
                <c:pt idx="18">
                  <c:v>3.1344827586206905</c:v>
                </c:pt>
                <c:pt idx="19">
                  <c:v>3.155555555555555</c:v>
                </c:pt>
                <c:pt idx="20">
                  <c:v>2.9166666666666674</c:v>
                </c:pt>
                <c:pt idx="21">
                  <c:v>3.2666666666666671</c:v>
                </c:pt>
                <c:pt idx="22">
                  <c:v>3.1346153846153846</c:v>
                </c:pt>
                <c:pt idx="23">
                  <c:v>3.1870967741935492</c:v>
                </c:pt>
                <c:pt idx="24">
                  <c:v>2.9624999999999995</c:v>
                </c:pt>
              </c:numCache>
            </c:numRef>
          </c:val>
          <c:extLst>
            <c:ext xmlns:c16="http://schemas.microsoft.com/office/drawing/2014/chart" uri="{C3380CC4-5D6E-409C-BE32-E72D297353CC}">
              <c16:uniqueId val="{00000000-EF0C-4EF9-A8C9-5F65406E28DD}"/>
            </c:ext>
          </c:extLst>
        </c:ser>
        <c:dLbls>
          <c:showLegendKey val="0"/>
          <c:showVal val="0"/>
          <c:showCatName val="0"/>
          <c:showSerName val="0"/>
          <c:showPercent val="0"/>
          <c:showBubbleSize val="0"/>
        </c:dLbls>
        <c:axId val="161028255"/>
        <c:axId val="106669647"/>
      </c:areaChart>
      <c:catAx>
        <c:axId val="161028255"/>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69647"/>
        <c:crosses val="autoZero"/>
        <c:auto val="1"/>
        <c:lblAlgn val="ctr"/>
        <c:lblOffset val="100"/>
        <c:noMultiLvlLbl val="0"/>
      </c:catAx>
      <c:valAx>
        <c:axId val="1066696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2825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[Nikhil_Jangid_Excel_Project.xlsx]Pivot Tables!PivotTable3</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Tables'!$B$49:$B$50</c:f>
              <c:strCache>
                <c:ptCount val="1"/>
                <c:pt idx="0">
                  <c:v>COD</c:v>
                </c:pt>
              </c:strCache>
            </c:strRef>
          </c:tx>
          <c:spPr>
            <a:solidFill>
              <a:schemeClr val="accent1"/>
            </a:solidFill>
            <a:ln>
              <a:noFill/>
            </a:ln>
            <a:effectLst/>
          </c:spPr>
          <c:invertIfNegative val="0"/>
          <c:cat>
            <c:strRef>
              <c:f>'Pivot Tables'!$A$51:$A$63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Tables'!$B$51:$B$63</c:f>
              <c:numCache>
                <c:formatCode>0</c:formatCode>
                <c:ptCount val="12"/>
                <c:pt idx="0">
                  <c:v>970672.83</c:v>
                </c:pt>
                <c:pt idx="1">
                  <c:v>413625.45999999996</c:v>
                </c:pt>
                <c:pt idx="2">
                  <c:v>1066560.82</c:v>
                </c:pt>
                <c:pt idx="3">
                  <c:v>1023166.8300000001</c:v>
                </c:pt>
                <c:pt idx="4">
                  <c:v>738338.62</c:v>
                </c:pt>
                <c:pt idx="5">
                  <c:v>483703.72000000003</c:v>
                </c:pt>
                <c:pt idx="6">
                  <c:v>667853.51000000013</c:v>
                </c:pt>
                <c:pt idx="7">
                  <c:v>630904.36</c:v>
                </c:pt>
                <c:pt idx="8">
                  <c:v>848959.09</c:v>
                </c:pt>
                <c:pt idx="9">
                  <c:v>672516.71</c:v>
                </c:pt>
                <c:pt idx="10">
                  <c:v>442927.31</c:v>
                </c:pt>
                <c:pt idx="11">
                  <c:v>509070.57</c:v>
                </c:pt>
              </c:numCache>
            </c:numRef>
          </c:val>
          <c:extLst>
            <c:ext xmlns:c16="http://schemas.microsoft.com/office/drawing/2014/chart" uri="{C3380CC4-5D6E-409C-BE32-E72D297353CC}">
              <c16:uniqueId val="{00000000-4084-4196-ACF1-14E102E0A4B4}"/>
            </c:ext>
          </c:extLst>
        </c:ser>
        <c:ser>
          <c:idx val="1"/>
          <c:order val="1"/>
          <c:tx>
            <c:strRef>
              <c:f>'Pivot Tables'!$C$49:$C$50</c:f>
              <c:strCache>
                <c:ptCount val="1"/>
                <c:pt idx="0">
                  <c:v>Credit Card</c:v>
                </c:pt>
              </c:strCache>
            </c:strRef>
          </c:tx>
          <c:spPr>
            <a:solidFill>
              <a:schemeClr val="accent2"/>
            </a:solidFill>
            <a:ln>
              <a:noFill/>
            </a:ln>
            <a:effectLst/>
          </c:spPr>
          <c:invertIfNegative val="0"/>
          <c:cat>
            <c:strRef>
              <c:f>'Pivot Tables'!$A$51:$A$63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Tables'!$C$51:$C$63</c:f>
              <c:numCache>
                <c:formatCode>0</c:formatCode>
                <c:ptCount val="12"/>
                <c:pt idx="0">
                  <c:v>881559.11</c:v>
                </c:pt>
                <c:pt idx="1">
                  <c:v>248254.84</c:v>
                </c:pt>
                <c:pt idx="2">
                  <c:v>135774.71000000002</c:v>
                </c:pt>
                <c:pt idx="3">
                  <c:v>1329186.8699999999</c:v>
                </c:pt>
                <c:pt idx="4">
                  <c:v>408532.91</c:v>
                </c:pt>
                <c:pt idx="5">
                  <c:v>638841.56000000006</c:v>
                </c:pt>
                <c:pt idx="6">
                  <c:v>960897.49</c:v>
                </c:pt>
                <c:pt idx="7">
                  <c:v>723602.01</c:v>
                </c:pt>
                <c:pt idx="8">
                  <c:v>742701.58999999985</c:v>
                </c:pt>
                <c:pt idx="9">
                  <c:v>561288.58000000007</c:v>
                </c:pt>
                <c:pt idx="10">
                  <c:v>966280.89</c:v>
                </c:pt>
                <c:pt idx="11">
                  <c:v>419390.54000000004</c:v>
                </c:pt>
              </c:numCache>
            </c:numRef>
          </c:val>
          <c:extLst>
            <c:ext xmlns:c16="http://schemas.microsoft.com/office/drawing/2014/chart" uri="{C3380CC4-5D6E-409C-BE32-E72D297353CC}">
              <c16:uniqueId val="{00000001-8B4F-4EE8-B11B-FE805236AF46}"/>
            </c:ext>
          </c:extLst>
        </c:ser>
        <c:ser>
          <c:idx val="2"/>
          <c:order val="2"/>
          <c:tx>
            <c:strRef>
              <c:f>'Pivot Tables'!$D$49:$D$50</c:f>
              <c:strCache>
                <c:ptCount val="1"/>
                <c:pt idx="0">
                  <c:v>Debit Card</c:v>
                </c:pt>
              </c:strCache>
            </c:strRef>
          </c:tx>
          <c:spPr>
            <a:solidFill>
              <a:schemeClr val="accent3"/>
            </a:solidFill>
            <a:ln>
              <a:noFill/>
            </a:ln>
            <a:effectLst/>
          </c:spPr>
          <c:invertIfNegative val="0"/>
          <c:cat>
            <c:strRef>
              <c:f>'Pivot Tables'!$A$51:$A$63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Tables'!$D$51:$D$63</c:f>
              <c:numCache>
                <c:formatCode>0</c:formatCode>
                <c:ptCount val="12"/>
                <c:pt idx="0">
                  <c:v>425666.38</c:v>
                </c:pt>
                <c:pt idx="1">
                  <c:v>689816.83000000007</c:v>
                </c:pt>
                <c:pt idx="2">
                  <c:v>1098109.45</c:v>
                </c:pt>
                <c:pt idx="3">
                  <c:v>424628.93</c:v>
                </c:pt>
                <c:pt idx="4">
                  <c:v>535720.34</c:v>
                </c:pt>
                <c:pt idx="5">
                  <c:v>729615.81</c:v>
                </c:pt>
                <c:pt idx="6">
                  <c:v>643394.62</c:v>
                </c:pt>
                <c:pt idx="7">
                  <c:v>763678.50000000012</c:v>
                </c:pt>
                <c:pt idx="8">
                  <c:v>953062.6</c:v>
                </c:pt>
                <c:pt idx="9">
                  <c:v>694155.82</c:v>
                </c:pt>
                <c:pt idx="10">
                  <c:v>578260.24</c:v>
                </c:pt>
                <c:pt idx="11">
                  <c:v>1431695.31</c:v>
                </c:pt>
              </c:numCache>
            </c:numRef>
          </c:val>
          <c:extLst>
            <c:ext xmlns:c16="http://schemas.microsoft.com/office/drawing/2014/chart" uri="{C3380CC4-5D6E-409C-BE32-E72D297353CC}">
              <c16:uniqueId val="{00000002-8B4F-4EE8-B11B-FE805236AF46}"/>
            </c:ext>
          </c:extLst>
        </c:ser>
        <c:ser>
          <c:idx val="3"/>
          <c:order val="3"/>
          <c:tx>
            <c:strRef>
              <c:f>'Pivot Tables'!$E$49:$E$50</c:f>
              <c:strCache>
                <c:ptCount val="1"/>
                <c:pt idx="0">
                  <c:v>Net Banking</c:v>
                </c:pt>
              </c:strCache>
            </c:strRef>
          </c:tx>
          <c:spPr>
            <a:solidFill>
              <a:schemeClr val="accent4"/>
            </a:solidFill>
            <a:ln>
              <a:noFill/>
            </a:ln>
            <a:effectLst/>
          </c:spPr>
          <c:invertIfNegative val="0"/>
          <c:cat>
            <c:strRef>
              <c:f>'Pivot Tables'!$A$51:$A$63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Tables'!$E$51:$E$63</c:f>
              <c:numCache>
                <c:formatCode>0</c:formatCode>
                <c:ptCount val="12"/>
                <c:pt idx="0">
                  <c:v>1156275.21</c:v>
                </c:pt>
                <c:pt idx="1">
                  <c:v>790976.21000000008</c:v>
                </c:pt>
                <c:pt idx="2">
                  <c:v>439760.81999999995</c:v>
                </c:pt>
                <c:pt idx="3">
                  <c:v>1494609.2999999996</c:v>
                </c:pt>
                <c:pt idx="4">
                  <c:v>561991.87</c:v>
                </c:pt>
                <c:pt idx="5">
                  <c:v>584679.43000000005</c:v>
                </c:pt>
                <c:pt idx="6">
                  <c:v>1283442</c:v>
                </c:pt>
                <c:pt idx="7">
                  <c:v>307301.46000000002</c:v>
                </c:pt>
                <c:pt idx="8">
                  <c:v>1149998.2399999998</c:v>
                </c:pt>
                <c:pt idx="9">
                  <c:v>391981.42</c:v>
                </c:pt>
                <c:pt idx="10">
                  <c:v>463256.16000000003</c:v>
                </c:pt>
                <c:pt idx="11">
                  <c:v>493772.56</c:v>
                </c:pt>
              </c:numCache>
            </c:numRef>
          </c:val>
          <c:extLst>
            <c:ext xmlns:c16="http://schemas.microsoft.com/office/drawing/2014/chart" uri="{C3380CC4-5D6E-409C-BE32-E72D297353CC}">
              <c16:uniqueId val="{00000003-8B4F-4EE8-B11B-FE805236AF46}"/>
            </c:ext>
          </c:extLst>
        </c:ser>
        <c:ser>
          <c:idx val="4"/>
          <c:order val="4"/>
          <c:tx>
            <c:strRef>
              <c:f>'Pivot Tables'!$F$49:$F$50</c:f>
              <c:strCache>
                <c:ptCount val="1"/>
                <c:pt idx="0">
                  <c:v>UPI</c:v>
                </c:pt>
              </c:strCache>
            </c:strRef>
          </c:tx>
          <c:spPr>
            <a:solidFill>
              <a:schemeClr val="accent5"/>
            </a:solidFill>
            <a:ln>
              <a:noFill/>
            </a:ln>
            <a:effectLst/>
          </c:spPr>
          <c:invertIfNegative val="0"/>
          <c:cat>
            <c:strRef>
              <c:f>'Pivot Tables'!$A$51:$A$63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Tables'!$F$51:$F$63</c:f>
              <c:numCache>
                <c:formatCode>0</c:formatCode>
                <c:ptCount val="12"/>
                <c:pt idx="0">
                  <c:v>660352.32999999996</c:v>
                </c:pt>
                <c:pt idx="1">
                  <c:v>842411.9</c:v>
                </c:pt>
                <c:pt idx="2">
                  <c:v>544791.70000000007</c:v>
                </c:pt>
                <c:pt idx="3">
                  <c:v>1216610.3999999999</c:v>
                </c:pt>
                <c:pt idx="4">
                  <c:v>1201481.33</c:v>
                </c:pt>
                <c:pt idx="5">
                  <c:v>690694.71</c:v>
                </c:pt>
                <c:pt idx="6">
                  <c:v>795037.38</c:v>
                </c:pt>
                <c:pt idx="7">
                  <c:v>632330.1399999999</c:v>
                </c:pt>
                <c:pt idx="8">
                  <c:v>384464.72000000003</c:v>
                </c:pt>
                <c:pt idx="9">
                  <c:v>402109.57999999996</c:v>
                </c:pt>
                <c:pt idx="10">
                  <c:v>971385.01</c:v>
                </c:pt>
                <c:pt idx="11">
                  <c:v>743037.65</c:v>
                </c:pt>
              </c:numCache>
            </c:numRef>
          </c:val>
          <c:extLst>
            <c:ext xmlns:c16="http://schemas.microsoft.com/office/drawing/2014/chart" uri="{C3380CC4-5D6E-409C-BE32-E72D297353CC}">
              <c16:uniqueId val="{00000004-8B4F-4EE8-B11B-FE805236AF46}"/>
            </c:ext>
          </c:extLst>
        </c:ser>
        <c:ser>
          <c:idx val="5"/>
          <c:order val="5"/>
          <c:tx>
            <c:strRef>
              <c:f>'Pivot Tables'!$G$49:$G$50</c:f>
              <c:strCache>
                <c:ptCount val="1"/>
                <c:pt idx="0">
                  <c:v>Wallet</c:v>
                </c:pt>
              </c:strCache>
            </c:strRef>
          </c:tx>
          <c:spPr>
            <a:solidFill>
              <a:schemeClr val="accent6"/>
            </a:solidFill>
            <a:ln>
              <a:noFill/>
            </a:ln>
            <a:effectLst/>
          </c:spPr>
          <c:invertIfNegative val="0"/>
          <c:cat>
            <c:strRef>
              <c:f>'Pivot Tables'!$A$51:$A$63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Tables'!$G$51:$G$63</c:f>
              <c:numCache>
                <c:formatCode>0</c:formatCode>
                <c:ptCount val="12"/>
                <c:pt idx="0">
                  <c:v>1207542.3700000001</c:v>
                </c:pt>
                <c:pt idx="1">
                  <c:v>670952.72000000009</c:v>
                </c:pt>
                <c:pt idx="2">
                  <c:v>1240604.29</c:v>
                </c:pt>
                <c:pt idx="3">
                  <c:v>393298.91000000003</c:v>
                </c:pt>
                <c:pt idx="4">
                  <c:v>1061834.3</c:v>
                </c:pt>
                <c:pt idx="5">
                  <c:v>848959.6399999999</c:v>
                </c:pt>
                <c:pt idx="6">
                  <c:v>1255051.4700000002</c:v>
                </c:pt>
                <c:pt idx="7">
                  <c:v>565783.1</c:v>
                </c:pt>
                <c:pt idx="8">
                  <c:v>225997.26</c:v>
                </c:pt>
                <c:pt idx="9">
                  <c:v>930948.73</c:v>
                </c:pt>
                <c:pt idx="10">
                  <c:v>922323.96</c:v>
                </c:pt>
                <c:pt idx="11">
                  <c:v>400041.23</c:v>
                </c:pt>
              </c:numCache>
            </c:numRef>
          </c:val>
          <c:extLst>
            <c:ext xmlns:c16="http://schemas.microsoft.com/office/drawing/2014/chart" uri="{C3380CC4-5D6E-409C-BE32-E72D297353CC}">
              <c16:uniqueId val="{00000006-8B4F-4EE8-B11B-FE805236AF46}"/>
            </c:ext>
          </c:extLst>
        </c:ser>
        <c:dLbls>
          <c:showLegendKey val="0"/>
          <c:showVal val="0"/>
          <c:showCatName val="0"/>
          <c:showSerName val="0"/>
          <c:showPercent val="0"/>
          <c:showBubbleSize val="0"/>
        </c:dLbls>
        <c:gapWidth val="219"/>
        <c:overlap val="-27"/>
        <c:axId val="727135167"/>
        <c:axId val="727151967"/>
      </c:barChart>
      <c:catAx>
        <c:axId val="72713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151967"/>
        <c:crosses val="autoZero"/>
        <c:auto val="1"/>
        <c:lblAlgn val="ctr"/>
        <c:lblOffset val="100"/>
        <c:noMultiLvlLbl val="0"/>
      </c:catAx>
      <c:valAx>
        <c:axId val="72715196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135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[Nikhil_Jangid_Excel_Project.xlsx]Pivot Tables!PivotTable6</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categorywise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Tables'!$F$71:$F$72</c:f>
              <c:strCache>
                <c:ptCount val="1"/>
                <c:pt idx="0">
                  <c:v>2024</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Tables'!$E$73:$E$98</c:f>
              <c:strCache>
                <c:ptCount val="25"/>
                <c:pt idx="0">
                  <c:v>Bedsheet</c:v>
                </c:pt>
                <c:pt idx="1">
                  <c:v>Comic Book</c:v>
                </c:pt>
                <c:pt idx="2">
                  <c:v>Cookbook</c:v>
                </c:pt>
                <c:pt idx="3">
                  <c:v>Cookware Set</c:v>
                </c:pt>
                <c:pt idx="4">
                  <c:v>Dress</c:v>
                </c:pt>
                <c:pt idx="5">
                  <c:v>Educational Book</c:v>
                </c:pt>
                <c:pt idx="6">
                  <c:v>Face Cream</c:v>
                </c:pt>
                <c:pt idx="7">
                  <c:v>Fiction Novel</c:v>
                </c:pt>
                <c:pt idx="8">
                  <c:v>Hair Dryer</c:v>
                </c:pt>
                <c:pt idx="9">
                  <c:v>Headphones</c:v>
                </c:pt>
                <c:pt idx="10">
                  <c:v>Jacket</c:v>
                </c:pt>
                <c:pt idx="11">
                  <c:v>Jeans</c:v>
                </c:pt>
                <c:pt idx="12">
                  <c:v>Laptop</c:v>
                </c:pt>
                <c:pt idx="13">
                  <c:v>Lipstick</c:v>
                </c:pt>
                <c:pt idx="14">
                  <c:v>Mixer Grinder</c:v>
                </c:pt>
                <c:pt idx="15">
                  <c:v>Perfume</c:v>
                </c:pt>
                <c:pt idx="16">
                  <c:v>Self-Help Book</c:v>
                </c:pt>
                <c:pt idx="17">
                  <c:v>Shampoo</c:v>
                </c:pt>
                <c:pt idx="18">
                  <c:v>Smartphone</c:v>
                </c:pt>
                <c:pt idx="19">
                  <c:v>Smartwatch</c:v>
                </c:pt>
                <c:pt idx="20">
                  <c:v>Sneakers</c:v>
                </c:pt>
                <c:pt idx="21">
                  <c:v>Sofa Cover</c:v>
                </c:pt>
                <c:pt idx="22">
                  <c:v>Table Lamp</c:v>
                </c:pt>
                <c:pt idx="23">
                  <c:v>Tablet</c:v>
                </c:pt>
                <c:pt idx="24">
                  <c:v>T-Shirt</c:v>
                </c:pt>
              </c:strCache>
            </c:strRef>
          </c:cat>
          <c:val>
            <c:numRef>
              <c:f>'Pivot Tables'!$F$73:$F$98</c:f>
              <c:numCache>
                <c:formatCode>General</c:formatCode>
                <c:ptCount val="25"/>
                <c:pt idx="0">
                  <c:v>66</c:v>
                </c:pt>
                <c:pt idx="1">
                  <c:v>65</c:v>
                </c:pt>
                <c:pt idx="2">
                  <c:v>65</c:v>
                </c:pt>
                <c:pt idx="3">
                  <c:v>77</c:v>
                </c:pt>
                <c:pt idx="4">
                  <c:v>55</c:v>
                </c:pt>
                <c:pt idx="5">
                  <c:v>130</c:v>
                </c:pt>
                <c:pt idx="6">
                  <c:v>73</c:v>
                </c:pt>
                <c:pt idx="7">
                  <c:v>65</c:v>
                </c:pt>
                <c:pt idx="8">
                  <c:v>76</c:v>
                </c:pt>
                <c:pt idx="9">
                  <c:v>86</c:v>
                </c:pt>
                <c:pt idx="10">
                  <c:v>88</c:v>
                </c:pt>
                <c:pt idx="11">
                  <c:v>86</c:v>
                </c:pt>
                <c:pt idx="12">
                  <c:v>80</c:v>
                </c:pt>
                <c:pt idx="13">
                  <c:v>73</c:v>
                </c:pt>
                <c:pt idx="14">
                  <c:v>56</c:v>
                </c:pt>
                <c:pt idx="15">
                  <c:v>81</c:v>
                </c:pt>
                <c:pt idx="16">
                  <c:v>83</c:v>
                </c:pt>
                <c:pt idx="17">
                  <c:v>63</c:v>
                </c:pt>
                <c:pt idx="18">
                  <c:v>78</c:v>
                </c:pt>
                <c:pt idx="19">
                  <c:v>93</c:v>
                </c:pt>
                <c:pt idx="20">
                  <c:v>75</c:v>
                </c:pt>
                <c:pt idx="21">
                  <c:v>67</c:v>
                </c:pt>
                <c:pt idx="22">
                  <c:v>61</c:v>
                </c:pt>
                <c:pt idx="23">
                  <c:v>90</c:v>
                </c:pt>
                <c:pt idx="24">
                  <c:v>76</c:v>
                </c:pt>
              </c:numCache>
            </c:numRef>
          </c:val>
          <c:smooth val="0"/>
          <c:extLst>
            <c:ext xmlns:c16="http://schemas.microsoft.com/office/drawing/2014/chart" uri="{C3380CC4-5D6E-409C-BE32-E72D297353CC}">
              <c16:uniqueId val="{00000000-FECE-4B69-B9F9-24E8E9978DA0}"/>
            </c:ext>
          </c:extLst>
        </c:ser>
        <c:ser>
          <c:idx val="1"/>
          <c:order val="1"/>
          <c:tx>
            <c:strRef>
              <c:f>'Pivot Tables'!$G$71:$G$72</c:f>
              <c:strCache>
                <c:ptCount val="1"/>
                <c:pt idx="0">
                  <c:v>2025</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Tables'!$E$73:$E$98</c:f>
              <c:strCache>
                <c:ptCount val="25"/>
                <c:pt idx="0">
                  <c:v>Bedsheet</c:v>
                </c:pt>
                <c:pt idx="1">
                  <c:v>Comic Book</c:v>
                </c:pt>
                <c:pt idx="2">
                  <c:v>Cookbook</c:v>
                </c:pt>
                <c:pt idx="3">
                  <c:v>Cookware Set</c:v>
                </c:pt>
                <c:pt idx="4">
                  <c:v>Dress</c:v>
                </c:pt>
                <c:pt idx="5">
                  <c:v>Educational Book</c:v>
                </c:pt>
                <c:pt idx="6">
                  <c:v>Face Cream</c:v>
                </c:pt>
                <c:pt idx="7">
                  <c:v>Fiction Novel</c:v>
                </c:pt>
                <c:pt idx="8">
                  <c:v>Hair Dryer</c:v>
                </c:pt>
                <c:pt idx="9">
                  <c:v>Headphones</c:v>
                </c:pt>
                <c:pt idx="10">
                  <c:v>Jacket</c:v>
                </c:pt>
                <c:pt idx="11">
                  <c:v>Jeans</c:v>
                </c:pt>
                <c:pt idx="12">
                  <c:v>Laptop</c:v>
                </c:pt>
                <c:pt idx="13">
                  <c:v>Lipstick</c:v>
                </c:pt>
                <c:pt idx="14">
                  <c:v>Mixer Grinder</c:v>
                </c:pt>
                <c:pt idx="15">
                  <c:v>Perfume</c:v>
                </c:pt>
                <c:pt idx="16">
                  <c:v>Self-Help Book</c:v>
                </c:pt>
                <c:pt idx="17">
                  <c:v>Shampoo</c:v>
                </c:pt>
                <c:pt idx="18">
                  <c:v>Smartphone</c:v>
                </c:pt>
                <c:pt idx="19">
                  <c:v>Smartwatch</c:v>
                </c:pt>
                <c:pt idx="20">
                  <c:v>Sneakers</c:v>
                </c:pt>
                <c:pt idx="21">
                  <c:v>Sofa Cover</c:v>
                </c:pt>
                <c:pt idx="22">
                  <c:v>Table Lamp</c:v>
                </c:pt>
                <c:pt idx="23">
                  <c:v>Tablet</c:v>
                </c:pt>
                <c:pt idx="24">
                  <c:v>T-Shirt</c:v>
                </c:pt>
              </c:strCache>
            </c:strRef>
          </c:cat>
          <c:val>
            <c:numRef>
              <c:f>'Pivot Tables'!$G$73:$G$98</c:f>
              <c:numCache>
                <c:formatCode>General</c:formatCode>
                <c:ptCount val="25"/>
                <c:pt idx="0">
                  <c:v>3</c:v>
                </c:pt>
                <c:pt idx="1">
                  <c:v>8</c:v>
                </c:pt>
                <c:pt idx="2">
                  <c:v>5</c:v>
                </c:pt>
                <c:pt idx="3">
                  <c:v>5</c:v>
                </c:pt>
                <c:pt idx="4">
                  <c:v>5</c:v>
                </c:pt>
                <c:pt idx="5">
                  <c:v>4</c:v>
                </c:pt>
                <c:pt idx="6">
                  <c:v>18</c:v>
                </c:pt>
                <c:pt idx="7">
                  <c:v>14</c:v>
                </c:pt>
                <c:pt idx="9">
                  <c:v>15</c:v>
                </c:pt>
                <c:pt idx="10">
                  <c:v>11</c:v>
                </c:pt>
                <c:pt idx="11">
                  <c:v>3</c:v>
                </c:pt>
                <c:pt idx="12">
                  <c:v>22</c:v>
                </c:pt>
                <c:pt idx="13">
                  <c:v>6</c:v>
                </c:pt>
                <c:pt idx="14">
                  <c:v>10</c:v>
                </c:pt>
                <c:pt idx="15">
                  <c:v>17</c:v>
                </c:pt>
                <c:pt idx="16">
                  <c:v>11</c:v>
                </c:pt>
                <c:pt idx="17">
                  <c:v>9</c:v>
                </c:pt>
                <c:pt idx="18">
                  <c:v>8</c:v>
                </c:pt>
                <c:pt idx="19">
                  <c:v>14</c:v>
                </c:pt>
                <c:pt idx="20">
                  <c:v>19</c:v>
                </c:pt>
                <c:pt idx="21">
                  <c:v>3</c:v>
                </c:pt>
                <c:pt idx="22">
                  <c:v>13</c:v>
                </c:pt>
                <c:pt idx="23">
                  <c:v>10</c:v>
                </c:pt>
                <c:pt idx="24">
                  <c:v>21</c:v>
                </c:pt>
              </c:numCache>
            </c:numRef>
          </c:val>
          <c:smooth val="0"/>
          <c:extLst>
            <c:ext xmlns:c16="http://schemas.microsoft.com/office/drawing/2014/chart" uri="{C3380CC4-5D6E-409C-BE32-E72D297353CC}">
              <c16:uniqueId val="{00000001-5D96-463C-B70C-10AC50151466}"/>
            </c:ext>
          </c:extLst>
        </c:ser>
        <c:dLbls>
          <c:showLegendKey val="0"/>
          <c:showVal val="0"/>
          <c:showCatName val="0"/>
          <c:showSerName val="0"/>
          <c:showPercent val="0"/>
          <c:showBubbleSize val="0"/>
        </c:dLbls>
        <c:marker val="1"/>
        <c:smooth val="0"/>
        <c:axId val="192791167"/>
        <c:axId val="192777247"/>
      </c:lineChart>
      <c:catAx>
        <c:axId val="192791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77247"/>
        <c:crosses val="autoZero"/>
        <c:auto val="1"/>
        <c:lblAlgn val="ctr"/>
        <c:lblOffset val="100"/>
        <c:noMultiLvlLbl val="0"/>
      </c:catAx>
      <c:valAx>
        <c:axId val="1927772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791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175260</xdr:colOff>
      <xdr:row>10</xdr:row>
      <xdr:rowOff>121920</xdr:rowOff>
    </xdr:from>
    <xdr:to>
      <xdr:col>11</xdr:col>
      <xdr:colOff>438924</xdr:colOff>
      <xdr:row>25</xdr:row>
      <xdr:rowOff>109694</xdr:rowOff>
    </xdr:to>
    <xdr:graphicFrame macro="">
      <xdr:nvGraphicFramePr>
        <xdr:cNvPr id="4" name="Chart 3">
          <a:extLst>
            <a:ext uri="{FF2B5EF4-FFF2-40B4-BE49-F238E27FC236}">
              <a16:creationId xmlns:a16="http://schemas.microsoft.com/office/drawing/2014/main" id="{B59B98D3-833C-44E3-8C61-60014E7D92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114300</xdr:colOff>
      <xdr:row>10</xdr:row>
      <xdr:rowOff>152400</xdr:rowOff>
    </xdr:from>
    <xdr:to>
      <xdr:col>17</xdr:col>
      <xdr:colOff>454743</xdr:colOff>
      <xdr:row>25</xdr:row>
      <xdr:rowOff>30480</xdr:rowOff>
    </xdr:to>
    <xdr:graphicFrame macro="">
      <xdr:nvGraphicFramePr>
        <xdr:cNvPr id="5" name="Chart 4">
          <a:extLst>
            <a:ext uri="{FF2B5EF4-FFF2-40B4-BE49-F238E27FC236}">
              <a16:creationId xmlns:a16="http://schemas.microsoft.com/office/drawing/2014/main" id="{E9674F5A-AAF7-4CA0-85F9-B09862DCF8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556260</xdr:colOff>
      <xdr:row>10</xdr:row>
      <xdr:rowOff>129540</xdr:rowOff>
    </xdr:from>
    <xdr:to>
      <xdr:col>25</xdr:col>
      <xdr:colOff>310040</xdr:colOff>
      <xdr:row>24</xdr:row>
      <xdr:rowOff>160020</xdr:rowOff>
    </xdr:to>
    <xdr:graphicFrame macro="">
      <xdr:nvGraphicFramePr>
        <xdr:cNvPr id="7" name="Chart 6">
          <a:extLst>
            <a:ext uri="{FF2B5EF4-FFF2-40B4-BE49-F238E27FC236}">
              <a16:creationId xmlns:a16="http://schemas.microsoft.com/office/drawing/2014/main" id="{B7208EC3-8E24-458D-9A25-900A16F95A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137160</xdr:colOff>
      <xdr:row>30</xdr:row>
      <xdr:rowOff>152400</xdr:rowOff>
    </xdr:from>
    <xdr:to>
      <xdr:col>10</xdr:col>
      <xdr:colOff>322600</xdr:colOff>
      <xdr:row>48</xdr:row>
      <xdr:rowOff>76200</xdr:rowOff>
    </xdr:to>
    <xdr:graphicFrame macro="">
      <xdr:nvGraphicFramePr>
        <xdr:cNvPr id="8" name="Chart 7">
          <a:extLst>
            <a:ext uri="{FF2B5EF4-FFF2-40B4-BE49-F238E27FC236}">
              <a16:creationId xmlns:a16="http://schemas.microsoft.com/office/drawing/2014/main" id="{9B3F9ADF-4115-4310-8EBF-D6AB808DE7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175260</xdr:colOff>
      <xdr:row>30</xdr:row>
      <xdr:rowOff>167640</xdr:rowOff>
    </xdr:from>
    <xdr:to>
      <xdr:col>18</xdr:col>
      <xdr:colOff>83820</xdr:colOff>
      <xdr:row>45</xdr:row>
      <xdr:rowOff>155413</xdr:rowOff>
    </xdr:to>
    <xdr:graphicFrame macro="">
      <xdr:nvGraphicFramePr>
        <xdr:cNvPr id="9" name="Chart 8">
          <a:extLst>
            <a:ext uri="{FF2B5EF4-FFF2-40B4-BE49-F238E27FC236}">
              <a16:creationId xmlns:a16="http://schemas.microsoft.com/office/drawing/2014/main" id="{BC35BE14-4416-40D3-B35E-762BE2C26C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0</xdr:colOff>
      <xdr:row>31</xdr:row>
      <xdr:rowOff>0</xdr:rowOff>
    </xdr:from>
    <xdr:to>
      <xdr:col>26</xdr:col>
      <xdr:colOff>25759</xdr:colOff>
      <xdr:row>46</xdr:row>
      <xdr:rowOff>0</xdr:rowOff>
    </xdr:to>
    <xdr:graphicFrame macro="">
      <xdr:nvGraphicFramePr>
        <xdr:cNvPr id="10" name="Chart 9">
          <a:extLst>
            <a:ext uri="{FF2B5EF4-FFF2-40B4-BE49-F238E27FC236}">
              <a16:creationId xmlns:a16="http://schemas.microsoft.com/office/drawing/2014/main" id="{8BCB07F9-BEA6-4347-9030-4C771F8AF0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180814</xdr:colOff>
      <xdr:row>5</xdr:row>
      <xdr:rowOff>0</xdr:rowOff>
    </xdr:from>
    <xdr:to>
      <xdr:col>4</xdr:col>
      <xdr:colOff>490779</xdr:colOff>
      <xdr:row>19</xdr:row>
      <xdr:rowOff>129153</xdr:rowOff>
    </xdr:to>
    <mc:AlternateContent xmlns:mc="http://schemas.openxmlformats.org/markup-compatibility/2006" xmlns:a14="http://schemas.microsoft.com/office/drawing/2010/main">
      <mc:Choice Requires="a14">
        <xdr:graphicFrame macro="">
          <xdr:nvGraphicFramePr>
            <xdr:cNvPr id="11" name="Product Name 1">
              <a:extLst>
                <a:ext uri="{FF2B5EF4-FFF2-40B4-BE49-F238E27FC236}">
                  <a16:creationId xmlns:a16="http://schemas.microsoft.com/office/drawing/2014/main" id="{01422F36-0F86-723A-18D2-A3373A41CEE2}"/>
                </a:ext>
              </a:extLst>
            </xdr:cNvPr>
            <xdr:cNvGraphicFramePr/>
          </xdr:nvGraphicFramePr>
          <xdr:xfrm>
            <a:off x="0" y="0"/>
            <a:ext cx="0" cy="0"/>
          </xdr:xfrm>
          <a:graphic>
            <a:graphicData uri="http://schemas.microsoft.com/office/drawing/2010/slicer">
              <sle:slicer xmlns:sle="http://schemas.microsoft.com/office/drawing/2010/slicer" name="Product Name 1"/>
            </a:graphicData>
          </a:graphic>
        </xdr:graphicFrame>
      </mc:Choice>
      <mc:Fallback xmlns="">
        <xdr:sp macro="" textlink="">
          <xdr:nvSpPr>
            <xdr:cNvPr id="0" name=""/>
            <xdr:cNvSpPr>
              <a:spLocks noTextEdit="1"/>
            </xdr:cNvSpPr>
          </xdr:nvSpPr>
          <xdr:spPr>
            <a:xfrm>
              <a:off x="180814" y="1054395"/>
              <a:ext cx="2755453" cy="27341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219559</xdr:colOff>
      <xdr:row>20</xdr:row>
      <xdr:rowOff>129153</xdr:rowOff>
    </xdr:from>
    <xdr:to>
      <xdr:col>4</xdr:col>
      <xdr:colOff>400372</xdr:colOff>
      <xdr:row>36</xdr:row>
      <xdr:rowOff>175939</xdr:rowOff>
    </xdr:to>
    <mc:AlternateContent xmlns:mc="http://schemas.openxmlformats.org/markup-compatibility/2006" xmlns:a14="http://schemas.microsoft.com/office/drawing/2010/main">
      <mc:Choice Requires="a14">
        <xdr:graphicFrame macro="">
          <xdr:nvGraphicFramePr>
            <xdr:cNvPr id="12" name="Months (Order Date)">
              <a:extLst>
                <a:ext uri="{FF2B5EF4-FFF2-40B4-BE49-F238E27FC236}">
                  <a16:creationId xmlns:a16="http://schemas.microsoft.com/office/drawing/2014/main" id="{46170562-BF85-28C5-C7C5-6D41CD1D41DC}"/>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219559" y="3974595"/>
              <a:ext cx="2626301" cy="30239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154982</xdr:colOff>
      <xdr:row>38</xdr:row>
      <xdr:rowOff>90408</xdr:rowOff>
    </xdr:from>
    <xdr:to>
      <xdr:col>4</xdr:col>
      <xdr:colOff>413287</xdr:colOff>
      <xdr:row>50</xdr:row>
      <xdr:rowOff>90407</xdr:rowOff>
    </xdr:to>
    <mc:AlternateContent xmlns:mc="http://schemas.openxmlformats.org/markup-compatibility/2006" xmlns:a14="http://schemas.microsoft.com/office/drawing/2010/main">
      <mc:Choice Requires="a14">
        <xdr:graphicFrame macro="">
          <xdr:nvGraphicFramePr>
            <xdr:cNvPr id="14" name="Payment Method">
              <a:extLst>
                <a:ext uri="{FF2B5EF4-FFF2-40B4-BE49-F238E27FC236}">
                  <a16:creationId xmlns:a16="http://schemas.microsoft.com/office/drawing/2014/main" id="{72F1BE91-C3A9-4BF9-B6CF-DA3FE39DAB1F}"/>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154982" y="7285106"/>
              <a:ext cx="2703793" cy="22328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154984</xdr:colOff>
      <xdr:row>51</xdr:row>
      <xdr:rowOff>126958</xdr:rowOff>
    </xdr:from>
    <xdr:to>
      <xdr:col>4</xdr:col>
      <xdr:colOff>348712</xdr:colOff>
      <xdr:row>59</xdr:row>
      <xdr:rowOff>167899</xdr:rowOff>
    </xdr:to>
    <mc:AlternateContent xmlns:mc="http://schemas.openxmlformats.org/markup-compatibility/2006" xmlns:a14="http://schemas.microsoft.com/office/drawing/2010/main">
      <mc:Choice Requires="a14">
        <xdr:graphicFrame macro="">
          <xdr:nvGraphicFramePr>
            <xdr:cNvPr id="15" name="Years (Order Date)">
              <a:extLst>
                <a:ext uri="{FF2B5EF4-FFF2-40B4-BE49-F238E27FC236}">
                  <a16:creationId xmlns:a16="http://schemas.microsoft.com/office/drawing/2014/main" id="{6007C891-48B2-72AD-6FDE-69E63DF3A4C7}"/>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54984" y="9740563"/>
              <a:ext cx="2639216" cy="1529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219558</xdr:colOff>
      <xdr:row>61</xdr:row>
      <xdr:rowOff>77490</xdr:rowOff>
    </xdr:from>
    <xdr:to>
      <xdr:col>4</xdr:col>
      <xdr:colOff>335795</xdr:colOff>
      <xdr:row>73</xdr:row>
      <xdr:rowOff>64576</xdr:rowOff>
    </xdr:to>
    <mc:AlternateContent xmlns:mc="http://schemas.openxmlformats.org/markup-compatibility/2006" xmlns:a14="http://schemas.microsoft.com/office/drawing/2010/main">
      <mc:Choice Requires="a14">
        <xdr:graphicFrame macro="">
          <xdr:nvGraphicFramePr>
            <xdr:cNvPr id="16" name="Category 1">
              <a:extLst>
                <a:ext uri="{FF2B5EF4-FFF2-40B4-BE49-F238E27FC236}">
                  <a16:creationId xmlns:a16="http://schemas.microsoft.com/office/drawing/2014/main" id="{995AA332-AECB-20FE-502F-70155D7F1751}"/>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219558" y="11551792"/>
              <a:ext cx="2561725" cy="22199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53788</xdr:colOff>
      <xdr:row>55</xdr:row>
      <xdr:rowOff>98613</xdr:rowOff>
    </xdr:from>
    <xdr:to>
      <xdr:col>13</xdr:col>
      <xdr:colOff>379509</xdr:colOff>
      <xdr:row>70</xdr:row>
      <xdr:rowOff>140174</xdr:rowOff>
    </xdr:to>
    <xdr:graphicFrame macro="">
      <xdr:nvGraphicFramePr>
        <xdr:cNvPr id="17" name="Chart 16">
          <a:extLst>
            <a:ext uri="{FF2B5EF4-FFF2-40B4-BE49-F238E27FC236}">
              <a16:creationId xmlns:a16="http://schemas.microsoft.com/office/drawing/2014/main" id="{FF7E6B6C-AA2A-4227-B729-0705D4773A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761999</xdr:colOff>
      <xdr:row>55</xdr:row>
      <xdr:rowOff>71717</xdr:rowOff>
    </xdr:from>
    <xdr:to>
      <xdr:col>24</xdr:col>
      <xdr:colOff>179292</xdr:colOff>
      <xdr:row>70</xdr:row>
      <xdr:rowOff>125505</xdr:rowOff>
    </xdr:to>
    <xdr:graphicFrame macro="">
      <xdr:nvGraphicFramePr>
        <xdr:cNvPr id="18" name="Chart 17">
          <a:extLst>
            <a:ext uri="{FF2B5EF4-FFF2-40B4-BE49-F238E27FC236}">
              <a16:creationId xmlns:a16="http://schemas.microsoft.com/office/drawing/2014/main" id="{09D94DD6-DB87-42DE-8C52-F0D6231240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la" refreshedDate="46177.889973032405" createdVersion="8" refreshedVersion="8" minRefreshableVersion="3" recordCount="699" xr:uid="{36E662CE-BA99-427B-A710-4E1C92ABD8D7}">
  <cacheSource type="worksheet">
    <worksheetSource name="flipkart_sales"/>
  </cacheSource>
  <cacheFields count="9">
    <cacheField name="Order ID" numFmtId="0">
      <sharedItems/>
    </cacheField>
    <cacheField name="Product Name" numFmtId="0">
      <sharedItems count="25">
        <s v="Educational Book"/>
        <s v="Jeans"/>
        <s v="Face Cream"/>
        <s v="Smartwatch"/>
        <s v="Cookware Set"/>
        <s v="Mixer Grinder"/>
        <s v="Sneakers"/>
        <s v="Table Lamp"/>
        <s v="Jacket"/>
        <s v="Tablet"/>
        <s v="Perfume"/>
        <s v="Lipstick"/>
        <s v="Smartphone"/>
        <s v="Comic Book"/>
        <s v="Cookbook"/>
        <s v="T-Shirt"/>
        <s v="Bedsheet"/>
        <s v="Hair Dryer"/>
        <s v="Laptop"/>
        <s v="Shampoo"/>
        <s v="Headphones"/>
        <s v="Fiction Novel"/>
        <s v="Self-Help Book"/>
        <s v="Sofa Cover"/>
        <s v="Dress"/>
      </sharedItems>
    </cacheField>
    <cacheField name="Category" numFmtId="0">
      <sharedItems count="5">
        <s v="Books"/>
        <s v="Clothing"/>
        <s v="Beauty"/>
        <s v="Electronics"/>
        <s v="Home &amp; Kitchen"/>
      </sharedItems>
    </cacheField>
    <cacheField name="Price (INR)" numFmtId="1">
      <sharedItems containsSemiMixedTypes="0" containsString="0" containsNumber="1" minValue="218.58" maxValue="49861.17"/>
    </cacheField>
    <cacheField name="Quantity Sold" numFmtId="0">
      <sharedItems containsSemiMixedTypes="0" containsString="0" containsNumber="1" containsInteger="1" minValue="1" maxValue="5"/>
    </cacheField>
    <cacheField name="Total Sales (INR)" numFmtId="1">
      <sharedItems containsSemiMixedTypes="0" containsString="0" containsNumber="1" minValue="492.53" maxValue="243903.9"/>
    </cacheField>
    <cacheField name="Order Date" numFmtId="14">
      <sharedItems containsSemiMixedTypes="0" containsNonDate="0" containsDate="1" containsString="0" minDate="2024-02-12T00:00:00" maxDate="2025-02-10T00:00:00" count="310">
        <d v="2024-09-12T00:00:00"/>
        <d v="2024-12-18T00:00:00"/>
        <d v="2024-05-18T00:00:00"/>
        <d v="2024-11-08T00:00:00"/>
        <d v="2024-12-27T00:00:00"/>
        <d v="2024-10-22T00:00:00"/>
        <d v="2024-07-04T00:00:00"/>
        <d v="2025-01-18T00:00:00"/>
        <d v="2024-03-14T00:00:00"/>
        <d v="2025-02-08T00:00:00"/>
        <d v="2024-04-13T00:00:00"/>
        <d v="2024-02-23T00:00:00"/>
        <d v="2024-06-02T00:00:00"/>
        <d v="2024-03-30T00:00:00"/>
        <d v="2024-04-22T00:00:00"/>
        <d v="2024-03-22T00:00:00"/>
        <d v="2025-01-06T00:00:00"/>
        <d v="2024-07-09T00:00:00"/>
        <d v="2025-01-22T00:00:00"/>
        <d v="2024-06-23T00:00:00"/>
        <d v="2024-03-19T00:00:00"/>
        <d v="2024-11-24T00:00:00"/>
        <d v="2024-07-23T00:00:00"/>
        <d v="2024-08-24T00:00:00"/>
        <d v="2024-07-21T00:00:00"/>
        <d v="2024-04-16T00:00:00"/>
        <d v="2024-08-05T00:00:00"/>
        <d v="2024-04-14T00:00:00"/>
        <d v="2024-10-17T00:00:00"/>
        <d v="2024-10-01T00:00:00"/>
        <d v="2024-07-15T00:00:00"/>
        <d v="2024-05-01T00:00:00"/>
        <d v="2024-06-10T00:00:00"/>
        <d v="2024-06-27T00:00:00"/>
        <d v="2024-07-31T00:00:00"/>
        <d v="2024-10-26T00:00:00"/>
        <d v="2024-02-12T00:00:00"/>
        <d v="2024-06-06T00:00:00"/>
        <d v="2024-12-14T00:00:00"/>
        <d v="2024-10-09T00:00:00"/>
        <d v="2024-02-15T00:00:00"/>
        <d v="2024-07-25T00:00:00"/>
        <d v="2024-06-22T00:00:00"/>
        <d v="2024-11-28T00:00:00"/>
        <d v="2024-08-11T00:00:00"/>
        <d v="2024-09-10T00:00:00"/>
        <d v="2024-10-30T00:00:00"/>
        <d v="2024-11-11T00:00:00"/>
        <d v="2024-11-22T00:00:00"/>
        <d v="2024-10-04T00:00:00"/>
        <d v="2024-04-04T00:00:00"/>
        <d v="2024-09-03T00:00:00"/>
        <d v="2024-05-16T00:00:00"/>
        <d v="2024-08-30T00:00:00"/>
        <d v="2024-06-13T00:00:00"/>
        <d v="2024-07-28T00:00:00"/>
        <d v="2024-07-10T00:00:00"/>
        <d v="2025-01-02T00:00:00"/>
        <d v="2024-12-22T00:00:00"/>
        <d v="2024-05-06T00:00:00"/>
        <d v="2024-02-26T00:00:00"/>
        <d v="2024-04-08T00:00:00"/>
        <d v="2024-04-28T00:00:00"/>
        <d v="2024-03-24T00:00:00"/>
        <d v="2024-07-05T00:00:00"/>
        <d v="2024-09-07T00:00:00"/>
        <d v="2024-02-13T00:00:00"/>
        <d v="2024-08-25T00:00:00"/>
        <d v="2024-03-25T00:00:00"/>
        <d v="2024-06-30T00:00:00"/>
        <d v="2024-07-16T00:00:00"/>
        <d v="2025-02-09T00:00:00"/>
        <d v="2024-12-10T00:00:00"/>
        <d v="2024-11-07T00:00:00"/>
        <d v="2024-12-03T00:00:00"/>
        <d v="2024-10-27T00:00:00"/>
        <d v="2024-05-30T00:00:00"/>
        <d v="2024-04-12T00:00:00"/>
        <d v="2024-06-28T00:00:00"/>
        <d v="2024-09-24T00:00:00"/>
        <d v="2024-04-01T00:00:00"/>
        <d v="2024-11-23T00:00:00"/>
        <d v="2024-05-23T00:00:00"/>
        <d v="2025-01-12T00:00:00"/>
        <d v="2025-01-28T00:00:00"/>
        <d v="2024-05-31T00:00:00"/>
        <d v="2025-02-02T00:00:00"/>
        <d v="2024-12-06T00:00:00"/>
        <d v="2024-09-05T00:00:00"/>
        <d v="2024-07-07T00:00:00"/>
        <d v="2024-07-14T00:00:00"/>
        <d v="2024-09-22T00:00:00"/>
        <d v="2024-05-10T00:00:00"/>
        <d v="2024-05-04T00:00:00"/>
        <d v="2024-06-25T00:00:00"/>
        <d v="2024-08-04T00:00:00"/>
        <d v="2024-09-11T00:00:00"/>
        <d v="2024-12-23T00:00:00"/>
        <d v="2024-10-07T00:00:00"/>
        <d v="2024-05-25T00:00:00"/>
        <d v="2024-07-18T00:00:00"/>
        <d v="2025-01-15T00:00:00"/>
        <d v="2024-05-27T00:00:00"/>
        <d v="2024-03-21T00:00:00"/>
        <d v="2024-04-21T00:00:00"/>
        <d v="2024-09-13T00:00:00"/>
        <d v="2024-08-26T00:00:00"/>
        <d v="2024-10-02T00:00:00"/>
        <d v="2024-05-02T00:00:00"/>
        <d v="2024-08-10T00:00:00"/>
        <d v="2024-06-17T00:00:00"/>
        <d v="2025-01-11T00:00:00"/>
        <d v="2024-04-20T00:00:00"/>
        <d v="2024-06-01T00:00:00"/>
        <d v="2024-10-28T00:00:00"/>
        <d v="2025-02-03T00:00:00"/>
        <d v="2025-01-01T00:00:00"/>
        <d v="2025-01-27T00:00:00"/>
        <d v="2024-09-19T00:00:00"/>
        <d v="2024-03-04T00:00:00"/>
        <d v="2024-05-11T00:00:00"/>
        <d v="2024-08-21T00:00:00"/>
        <d v="2024-09-27T00:00:00"/>
        <d v="2024-12-31T00:00:00"/>
        <d v="2024-02-20T00:00:00"/>
        <d v="2024-03-23T00:00:00"/>
        <d v="2024-11-21T00:00:00"/>
        <d v="2025-01-05T00:00:00"/>
        <d v="2024-08-06T00:00:00"/>
        <d v="2024-10-18T00:00:00"/>
        <d v="2024-12-20T00:00:00"/>
        <d v="2024-04-11T00:00:00"/>
        <d v="2024-11-29T00:00:00"/>
        <d v="2024-06-03T00:00:00"/>
        <d v="2025-01-14T00:00:00"/>
        <d v="2024-07-22T00:00:00"/>
        <d v="2024-07-29T00:00:00"/>
        <d v="2025-01-24T00:00:00"/>
        <d v="2024-12-04T00:00:00"/>
        <d v="2024-03-05T00:00:00"/>
        <d v="2024-08-31T00:00:00"/>
        <d v="2024-12-02T00:00:00"/>
        <d v="2024-03-06T00:00:00"/>
        <d v="2024-12-19T00:00:00"/>
        <d v="2024-08-02T00:00:00"/>
        <d v="2024-05-14T00:00:00"/>
        <d v="2024-09-04T00:00:00"/>
        <d v="2024-05-09T00:00:00"/>
        <d v="2024-02-18T00:00:00"/>
        <d v="2024-09-30T00:00:00"/>
        <d v="2024-07-11T00:00:00"/>
        <d v="2024-10-24T00:00:00"/>
        <d v="2024-10-16T00:00:00"/>
        <d v="2024-08-23T00:00:00"/>
        <d v="2024-03-27T00:00:00"/>
        <d v="2024-11-02T00:00:00"/>
        <d v="2024-09-02T00:00:00"/>
        <d v="2024-10-05T00:00:00"/>
        <d v="2024-04-05T00:00:00"/>
        <d v="2024-11-14T00:00:00"/>
        <d v="2024-12-26T00:00:00"/>
        <d v="2024-06-08T00:00:00"/>
        <d v="2024-09-18T00:00:00"/>
        <d v="2024-07-19T00:00:00"/>
        <d v="2024-04-06T00:00:00"/>
        <d v="2025-01-30T00:00:00"/>
        <d v="2024-12-28T00:00:00"/>
        <d v="2024-05-20T00:00:00"/>
        <d v="2024-09-09T00:00:00"/>
        <d v="2024-10-19T00:00:00"/>
        <d v="2024-06-18T00:00:00"/>
        <d v="2024-11-13T00:00:00"/>
        <d v="2024-08-12T00:00:00"/>
        <d v="2024-08-17T00:00:00"/>
        <d v="2024-05-15T00:00:00"/>
        <d v="2024-06-16T00:00:00"/>
        <d v="2024-06-15T00:00:00"/>
        <d v="2024-11-04T00:00:00"/>
        <d v="2025-02-01T00:00:00"/>
        <d v="2024-03-28T00:00:00"/>
        <d v="2024-12-11T00:00:00"/>
        <d v="2024-09-15T00:00:00"/>
        <d v="2024-02-24T00:00:00"/>
        <d v="2024-11-15T00:00:00"/>
        <d v="2024-08-16T00:00:00"/>
        <d v="2024-10-06T00:00:00"/>
        <d v="2024-09-01T00:00:00"/>
        <d v="2024-09-06T00:00:00"/>
        <d v="2024-05-22T00:00:00"/>
        <d v="2024-03-03T00:00:00"/>
        <d v="2024-05-19T00:00:00"/>
        <d v="2024-12-12T00:00:00"/>
        <d v="2024-03-26T00:00:00"/>
        <d v="2024-08-09T00:00:00"/>
        <d v="2024-02-21T00:00:00"/>
        <d v="2024-05-29T00:00:00"/>
        <d v="2024-07-13T00:00:00"/>
        <d v="2025-02-07T00:00:00"/>
        <d v="2024-04-02T00:00:00"/>
        <d v="2025-01-23T00:00:00"/>
        <d v="2025-01-10T00:00:00"/>
        <d v="2024-11-09T00:00:00"/>
        <d v="2024-11-10T00:00:00"/>
        <d v="2024-04-27T00:00:00"/>
        <d v="2025-02-06T00:00:00"/>
        <d v="2024-07-02T00:00:00"/>
        <d v="2024-11-05T00:00:00"/>
        <d v="2024-11-01T00:00:00"/>
        <d v="2024-11-25T00:00:00"/>
        <d v="2024-12-08T00:00:00"/>
        <d v="2024-09-20T00:00:00"/>
        <d v="2024-06-21T00:00:00"/>
        <d v="2024-07-08T00:00:00"/>
        <d v="2024-03-07T00:00:00"/>
        <d v="2024-11-30T00:00:00"/>
        <d v="2024-10-13T00:00:00"/>
        <d v="2024-10-10T00:00:00"/>
        <d v="2024-04-07T00:00:00"/>
        <d v="2024-02-19T00:00:00"/>
        <d v="2025-01-08T00:00:00"/>
        <d v="2024-04-03T00:00:00"/>
        <d v="2025-01-29T00:00:00"/>
        <d v="2024-08-27T00:00:00"/>
        <d v="2024-02-28T00:00:00"/>
        <d v="2024-06-05T00:00:00"/>
        <d v="2024-08-14T00:00:00"/>
        <d v="2024-05-03T00:00:00"/>
        <d v="2025-01-25T00:00:00"/>
        <d v="2024-09-28T00:00:00"/>
        <d v="2024-10-15T00:00:00"/>
        <d v="2024-12-30T00:00:00"/>
        <d v="2024-03-09T00:00:00"/>
        <d v="2024-03-20T00:00:00"/>
        <d v="2024-03-15T00:00:00"/>
        <d v="2024-09-21T00:00:00"/>
        <d v="2024-05-26T00:00:00"/>
        <d v="2024-11-26T00:00:00"/>
        <d v="2024-05-28T00:00:00"/>
        <d v="2025-01-07T00:00:00"/>
        <d v="2024-04-17T00:00:00"/>
        <d v="2024-06-12T00:00:00"/>
        <d v="2024-05-12T00:00:00"/>
        <d v="2024-07-03T00:00:00"/>
        <d v="2025-01-19T00:00:00"/>
        <d v="2024-02-17T00:00:00"/>
        <d v="2024-07-17T00:00:00"/>
        <d v="2024-06-04T00:00:00"/>
        <d v="2024-03-12T00:00:00"/>
        <d v="2024-03-10T00:00:00"/>
        <d v="2024-04-19T00:00:00"/>
        <d v="2024-08-13T00:00:00"/>
        <d v="2024-07-27T00:00:00"/>
        <d v="2024-04-15T00:00:00"/>
        <d v="2024-12-16T00:00:00"/>
        <d v="2024-12-09T00:00:00"/>
        <d v="2024-08-18T00:00:00"/>
        <d v="2024-06-09T00:00:00"/>
        <d v="2024-10-25T00:00:00"/>
        <d v="2024-08-20T00:00:00"/>
        <d v="2024-02-22T00:00:00"/>
        <d v="2024-05-05T00:00:00"/>
        <d v="2024-03-13T00:00:00"/>
        <d v="2024-04-10T00:00:00"/>
        <d v="2024-03-31T00:00:00"/>
        <d v="2024-04-23T00:00:00"/>
        <d v="2024-03-17T00:00:00"/>
        <d v="2024-09-16T00:00:00"/>
        <d v="2024-05-24T00:00:00"/>
        <d v="2024-11-27T00:00:00"/>
        <d v="2024-04-26T00:00:00"/>
        <d v="2024-07-12T00:00:00"/>
        <d v="2024-06-20T00:00:00"/>
        <d v="2024-07-24T00:00:00"/>
        <d v="2024-09-29T00:00:00"/>
        <d v="2024-12-15T00:00:00"/>
        <d v="2024-11-16T00:00:00"/>
        <d v="2024-03-02T00:00:00"/>
        <d v="2024-10-31T00:00:00"/>
        <d v="2024-11-19T00:00:00"/>
        <d v="2024-11-03T00:00:00"/>
        <d v="2024-04-24T00:00:00"/>
        <d v="2024-06-26T00:00:00"/>
        <d v="2025-01-21T00:00:00"/>
        <d v="2024-09-26T00:00:00"/>
        <d v="2024-05-13T00:00:00"/>
        <d v="2024-04-30T00:00:00"/>
        <d v="2024-12-29T00:00:00"/>
        <d v="2024-08-07T00:00:00"/>
        <d v="2024-05-17T00:00:00"/>
        <d v="2024-09-23T00:00:00"/>
        <d v="2024-12-25T00:00:00"/>
        <d v="2024-06-19T00:00:00"/>
        <d v="2025-01-16T00:00:00"/>
        <d v="2024-05-08T00:00:00"/>
        <d v="2024-04-29T00:00:00"/>
        <d v="2025-02-05T00:00:00"/>
        <d v="2024-07-06T00:00:00"/>
        <d v="2025-01-17T00:00:00"/>
        <d v="2024-07-20T00:00:00"/>
        <d v="2024-08-29T00:00:00"/>
        <d v="2024-06-14T00:00:00"/>
        <d v="2024-08-08T00:00:00"/>
        <d v="2024-10-29T00:00:00"/>
        <d v="2024-04-25T00:00:00"/>
        <d v="2024-11-17T00:00:00"/>
        <d v="2024-03-01T00:00:00"/>
        <d v="2024-03-16T00:00:00"/>
        <d v="2024-09-08T00:00:00"/>
        <d v="2024-11-12T00:00:00"/>
        <d v="2025-01-26T00:00:00"/>
      </sharedItems>
    </cacheField>
    <cacheField name="Payment Method" numFmtId="0">
      <sharedItems count="6">
        <s v="Debit Card"/>
        <s v="UPI"/>
        <s v="Wallet"/>
        <s v="COD"/>
        <s v="Credit Card"/>
        <s v="Net Banking"/>
      </sharedItems>
    </cacheField>
    <cacheField name="Customer Rating" numFmtId="0">
      <sharedItems containsSemiMixedTypes="0" containsString="0" containsNumber="1" minValue="1" maxValue="5"/>
    </cacheField>
  </cacheFields>
  <extLst>
    <ext xmlns:x14="http://schemas.microsoft.com/office/spreadsheetml/2009/9/main" uri="{725AE2AE-9491-48be-B2B4-4EB974FC3084}">
      <x14:pivotCacheDefinition pivotCacheId="208183716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ila" refreshedDate="46177.916608101848" createdVersion="8" refreshedVersion="8" minRefreshableVersion="3" recordCount="699" xr:uid="{E6AA973B-3472-46C9-BCD3-3F4D7D603E79}">
  <cacheSource type="worksheet">
    <worksheetSource name="flipkart_sales"/>
  </cacheSource>
  <cacheFields count="12">
    <cacheField name="Order ID" numFmtId="0">
      <sharedItems count="699">
        <s v="ORD00001"/>
        <s v="ORD00002"/>
        <s v="ORD00003"/>
        <s v="ORD00004"/>
        <s v="ORD00005"/>
        <s v="ORD00006"/>
        <s v="ORD00007"/>
        <s v="ORD00008"/>
        <s v="ORD00009"/>
        <s v="ORD00010"/>
        <s v="ORD00011"/>
        <s v="ORD00012"/>
        <s v="ORD00013"/>
        <s v="ORD00014"/>
        <s v="ORD00015"/>
        <s v="ORD00016"/>
        <s v="ORD00017"/>
        <s v="ORD00018"/>
        <s v="ORD00019"/>
        <s v="ORD00020"/>
        <s v="ORD00021"/>
        <s v="ORD00022"/>
        <s v="ORD00023"/>
        <s v="ORD00024"/>
        <s v="ORD00025"/>
        <s v="ORD00026"/>
        <s v="ORD00027"/>
        <s v="ORD00028"/>
        <s v="ORD00029"/>
        <s v="ORD00030"/>
        <s v="ORD00031"/>
        <s v="ORD00032"/>
        <s v="ORD00033"/>
        <s v="ORD00034"/>
        <s v="ORD00035"/>
        <s v="ORD00036"/>
        <s v="ORD00037"/>
        <s v="ORD00038"/>
        <s v="ORD00039"/>
        <s v="ORD00040"/>
        <s v="ORD00041"/>
        <s v="ORD00042"/>
        <s v="ORD00043"/>
        <s v="ORD00044"/>
        <s v="ORD00045"/>
        <s v="ORD00046"/>
        <s v="ORD00047"/>
        <s v="ORD00048"/>
        <s v="ORD00049"/>
        <s v="ORD00050"/>
        <s v="ORD00051"/>
        <s v="ORD00052"/>
        <s v="ORD00053"/>
        <s v="ORD00054"/>
        <s v="ORD00055"/>
        <s v="ORD00056"/>
        <s v="ORD00057"/>
        <s v="ORD00058"/>
        <s v="ORD00059"/>
        <s v="ORD00060"/>
        <s v="ORD00061"/>
        <s v="ORD00062"/>
        <s v="ORD00063"/>
        <s v="ORD00064"/>
        <s v="ORD00065"/>
        <s v="ORD00066"/>
        <s v="ORD00067"/>
        <s v="ORD00068"/>
        <s v="ORD00069"/>
        <s v="ORD00070"/>
        <s v="ORD00071"/>
        <s v="ORD00072"/>
        <s v="ORD00073"/>
        <s v="ORD00074"/>
        <s v="ORD00075"/>
        <s v="ORD00076"/>
        <s v="ORD00077"/>
        <s v="ORD00078"/>
        <s v="ORD00079"/>
        <s v="ORD00080"/>
        <s v="ORD00081"/>
        <s v="ORD00082"/>
        <s v="ORD00083"/>
        <s v="ORD00084"/>
        <s v="ORD00085"/>
        <s v="ORD00086"/>
        <s v="ORD00087"/>
        <s v="ORD00088"/>
        <s v="ORD00089"/>
        <s v="ORD00090"/>
        <s v="ORD00091"/>
        <s v="ORD00092"/>
        <s v="ORD00093"/>
        <s v="ORD00094"/>
        <s v="ORD00095"/>
        <s v="ORD00096"/>
        <s v="ORD00097"/>
        <s v="ORD00098"/>
        <s v="ORD00099"/>
        <s v="ORD00100"/>
        <s v="ORD00101"/>
        <s v="ORD00102"/>
        <s v="ORD00103"/>
        <s v="ORD00104"/>
        <s v="ORD00105"/>
        <s v="ORD00106"/>
        <s v="ORD00107"/>
        <s v="ORD00108"/>
        <s v="ORD00109"/>
        <s v="ORD00110"/>
        <s v="ORD00111"/>
        <s v="ORD00112"/>
        <s v="ORD00113"/>
        <s v="ORD00114"/>
        <s v="ORD00115"/>
        <s v="ORD00116"/>
        <s v="ORD00117"/>
        <s v="ORD00118"/>
        <s v="ORD00119"/>
        <s v="ORD00120"/>
        <s v="ORD00121"/>
        <s v="ORD00122"/>
        <s v="ORD00123"/>
        <s v="ORD00124"/>
        <s v="ORD00125"/>
        <s v="ORD00126"/>
        <s v="ORD00127"/>
        <s v="ORD00128"/>
        <s v="ORD00129"/>
        <s v="ORD00130"/>
        <s v="ORD00131"/>
        <s v="ORD00132"/>
        <s v="ORD00133"/>
        <s v="ORD00134"/>
        <s v="ORD00135"/>
        <s v="ORD00136"/>
        <s v="ORD00137"/>
        <s v="ORD00138"/>
        <s v="ORD00139"/>
        <s v="ORD00140"/>
        <s v="ORD00141"/>
        <s v="ORD00142"/>
        <s v="ORD00143"/>
        <s v="ORD00144"/>
        <s v="ORD00145"/>
        <s v="ORD00146"/>
        <s v="ORD00147"/>
        <s v="ORD00148"/>
        <s v="ORD00149"/>
        <s v="ORD00150"/>
        <s v="ORD00151"/>
        <s v="ORD00152"/>
        <s v="ORD00153"/>
        <s v="ORD00154"/>
        <s v="ORD00155"/>
        <s v="ORD00156"/>
        <s v="ORD00157"/>
        <s v="ORD00158"/>
        <s v="ORD00159"/>
        <s v="ORD00160"/>
        <s v="ORD00161"/>
        <s v="ORD00162"/>
        <s v="ORD00163"/>
        <s v="ORD00164"/>
        <s v="ORD00165"/>
        <s v="ORD00166"/>
        <s v="ORD00167"/>
        <s v="ORD00168"/>
        <s v="ORD00169"/>
        <s v="ORD00170"/>
        <s v="ORD00171"/>
        <s v="ORD00172"/>
        <s v="ORD00173"/>
        <s v="ORD00174"/>
        <s v="ORD00175"/>
        <s v="ORD00176"/>
        <s v="ORD00177"/>
        <s v="ORD00178"/>
        <s v="ORD00179"/>
        <s v="ORD00180"/>
        <s v="ORD00181"/>
        <s v="ORD00182"/>
        <s v="ORD00183"/>
        <s v="ORD00184"/>
        <s v="ORD00185"/>
        <s v="ORD00186"/>
        <s v="ORD00187"/>
        <s v="ORD00188"/>
        <s v="ORD00189"/>
        <s v="ORD00190"/>
        <s v="ORD00191"/>
        <s v="ORD00192"/>
        <s v="ORD00193"/>
        <s v="ORD00194"/>
        <s v="ORD00195"/>
        <s v="ORD00196"/>
        <s v="ORD00197"/>
        <s v="ORD00198"/>
        <s v="ORD00199"/>
        <s v="ORD00200"/>
        <s v="ORD00201"/>
        <s v="ORD00202"/>
        <s v="ORD00203"/>
        <s v="ORD00204"/>
        <s v="ORD00205"/>
        <s v="ORD00206"/>
        <s v="ORD00207"/>
        <s v="ORD00208"/>
        <s v="ORD00209"/>
        <s v="ORD00210"/>
        <s v="ORD00211"/>
        <s v="ORD00212"/>
        <s v="ORD00213"/>
        <s v="ORD00214"/>
        <s v="ORD00215"/>
        <s v="ORD00216"/>
        <s v="ORD00217"/>
        <s v="ORD00218"/>
        <s v="ORD00219"/>
        <s v="ORD00220"/>
        <s v="ORD00221"/>
        <s v="ORD00222"/>
        <s v="ORD00223"/>
        <s v="ORD00224"/>
        <s v="ORD00225"/>
        <s v="ORD00226"/>
        <s v="ORD00227"/>
        <s v="ORD00228"/>
        <s v="ORD00229"/>
        <s v="ORD00230"/>
        <s v="ORD00231"/>
        <s v="ORD00232"/>
        <s v="ORD00233"/>
        <s v="ORD00234"/>
        <s v="ORD00235"/>
        <s v="ORD00236"/>
        <s v="ORD00237"/>
        <s v="ORD00238"/>
        <s v="ORD00239"/>
        <s v="ORD00240"/>
        <s v="ORD00241"/>
        <s v="ORD00242"/>
        <s v="ORD00243"/>
        <s v="ORD00244"/>
        <s v="ORD00245"/>
        <s v="ORD00246"/>
        <s v="ORD00247"/>
        <s v="ORD00248"/>
        <s v="ORD00249"/>
        <s v="ORD00250"/>
        <s v="ORD00251"/>
        <s v="ORD00252"/>
        <s v="ORD00253"/>
        <s v="ORD00254"/>
        <s v="ORD00255"/>
        <s v="ORD00256"/>
        <s v="ORD00257"/>
        <s v="ORD00258"/>
        <s v="ORD00259"/>
        <s v="ORD00260"/>
        <s v="ORD00261"/>
        <s v="ORD00262"/>
        <s v="ORD00263"/>
        <s v="ORD00264"/>
        <s v="ORD00265"/>
        <s v="ORD00266"/>
        <s v="ORD00267"/>
        <s v="ORD00268"/>
        <s v="ORD00269"/>
        <s v="ORD00270"/>
        <s v="ORD00271"/>
        <s v="ORD00272"/>
        <s v="ORD00273"/>
        <s v="ORD00274"/>
        <s v="ORD00275"/>
        <s v="ORD00276"/>
        <s v="ORD00277"/>
        <s v="ORD00278"/>
        <s v="ORD00279"/>
        <s v="ORD00280"/>
        <s v="ORD00281"/>
        <s v="ORD00282"/>
        <s v="ORD00283"/>
        <s v="ORD00284"/>
        <s v="ORD00285"/>
        <s v="ORD00286"/>
        <s v="ORD00287"/>
        <s v="ORD00288"/>
        <s v="ORD00289"/>
        <s v="ORD00290"/>
        <s v="ORD00291"/>
        <s v="ORD00292"/>
        <s v="ORD00293"/>
        <s v="ORD00294"/>
        <s v="ORD00295"/>
        <s v="ORD00296"/>
        <s v="ORD00297"/>
        <s v="ORD00298"/>
        <s v="ORD00299"/>
        <s v="ORD00300"/>
        <s v="ORD00301"/>
        <s v="ORD00302"/>
        <s v="ORD00303"/>
        <s v="ORD00304"/>
        <s v="ORD00305"/>
        <s v="ORD00306"/>
        <s v="ORD00307"/>
        <s v="ORD00308"/>
        <s v="ORD00309"/>
        <s v="ORD00310"/>
        <s v="ORD00311"/>
        <s v="ORD00312"/>
        <s v="ORD00313"/>
        <s v="ORD00314"/>
        <s v="ORD00315"/>
        <s v="ORD00316"/>
        <s v="ORD00317"/>
        <s v="ORD00318"/>
        <s v="ORD00319"/>
        <s v="ORD00320"/>
        <s v="ORD00321"/>
        <s v="ORD00322"/>
        <s v="ORD00323"/>
        <s v="ORD00324"/>
        <s v="ORD00325"/>
        <s v="ORD00326"/>
        <s v="ORD00327"/>
        <s v="ORD00328"/>
        <s v="ORD00329"/>
        <s v="ORD00330"/>
        <s v="ORD00331"/>
        <s v="ORD00332"/>
        <s v="ORD00333"/>
        <s v="ORD00334"/>
        <s v="ORD00335"/>
        <s v="ORD00336"/>
        <s v="ORD00337"/>
        <s v="ORD00338"/>
        <s v="ORD00339"/>
        <s v="ORD00340"/>
        <s v="ORD00341"/>
        <s v="ORD00342"/>
        <s v="ORD00343"/>
        <s v="ORD00344"/>
        <s v="ORD00345"/>
        <s v="ORD00346"/>
        <s v="ORD00347"/>
        <s v="ORD00348"/>
        <s v="ORD00349"/>
        <s v="ORD00350"/>
        <s v="ORD00351"/>
        <s v="ORD00352"/>
        <s v="ORD00353"/>
        <s v="ORD00354"/>
        <s v="ORD00355"/>
        <s v="ORD00356"/>
        <s v="ORD00357"/>
        <s v="ORD00358"/>
        <s v="ORD00359"/>
        <s v="ORD00360"/>
        <s v="ORD00361"/>
        <s v="ORD00362"/>
        <s v="ORD00363"/>
        <s v="ORD00364"/>
        <s v="ORD00365"/>
        <s v="ORD00366"/>
        <s v="ORD00367"/>
        <s v="ORD00368"/>
        <s v="ORD00369"/>
        <s v="ORD00370"/>
        <s v="ORD00371"/>
        <s v="ORD00372"/>
        <s v="ORD00373"/>
        <s v="ORD00374"/>
        <s v="ORD00375"/>
        <s v="ORD00376"/>
        <s v="ORD00377"/>
        <s v="ORD00378"/>
        <s v="ORD00379"/>
        <s v="ORD00380"/>
        <s v="ORD00381"/>
        <s v="ORD00382"/>
        <s v="ORD00383"/>
        <s v="ORD00384"/>
        <s v="ORD00385"/>
        <s v="ORD00386"/>
        <s v="ORD00387"/>
        <s v="ORD00388"/>
        <s v="ORD00389"/>
        <s v="ORD00390"/>
        <s v="ORD00391"/>
        <s v="ORD00392"/>
        <s v="ORD00393"/>
        <s v="ORD00394"/>
        <s v="ORD00395"/>
        <s v="ORD00396"/>
        <s v="ORD00397"/>
        <s v="ORD00398"/>
        <s v="ORD00399"/>
        <s v="ORD00400"/>
        <s v="ORD00401"/>
        <s v="ORD00402"/>
        <s v="ORD00403"/>
        <s v="ORD00404"/>
        <s v="ORD00405"/>
        <s v="ORD00406"/>
        <s v="ORD00407"/>
        <s v="ORD00408"/>
        <s v="ORD00409"/>
        <s v="ORD00410"/>
        <s v="ORD00411"/>
        <s v="ORD00412"/>
        <s v="ORD00413"/>
        <s v="ORD00414"/>
        <s v="ORD00415"/>
        <s v="ORD00416"/>
        <s v="ORD00417"/>
        <s v="ORD00418"/>
        <s v="ORD00419"/>
        <s v="ORD00420"/>
        <s v="ORD00421"/>
        <s v="ORD00422"/>
        <s v="ORD00423"/>
        <s v="ORD00424"/>
        <s v="ORD00425"/>
        <s v="ORD00426"/>
        <s v="ORD00427"/>
        <s v="ORD00428"/>
        <s v="ORD00429"/>
        <s v="ORD00430"/>
        <s v="ORD00431"/>
        <s v="ORD00432"/>
        <s v="ORD00433"/>
        <s v="ORD00434"/>
        <s v="ORD00435"/>
        <s v="ORD00436"/>
        <s v="ORD00437"/>
        <s v="ORD00438"/>
        <s v="ORD00439"/>
        <s v="ORD00440"/>
        <s v="ORD00441"/>
        <s v="ORD00442"/>
        <s v="ORD00443"/>
        <s v="ORD00444"/>
        <s v="ORD00445"/>
        <s v="ORD00446"/>
        <s v="ORD00447"/>
        <s v="ORD00448"/>
        <s v="ORD00449"/>
        <s v="ORD00450"/>
        <s v="ORD00451"/>
        <s v="ORD00452"/>
        <s v="ORD00453"/>
        <s v="ORD00454"/>
        <s v="ORD00455"/>
        <s v="ORD00456"/>
        <s v="ORD00457"/>
        <s v="ORD00458"/>
        <s v="ORD00459"/>
        <s v="ORD00460"/>
        <s v="ORD00461"/>
        <s v="ORD00462"/>
        <s v="ORD00463"/>
        <s v="ORD00464"/>
        <s v="ORD00465"/>
        <s v="ORD00466"/>
        <s v="ORD00467"/>
        <s v="ORD00468"/>
        <s v="ORD00469"/>
        <s v="ORD00470"/>
        <s v="ORD00471"/>
        <s v="ORD00472"/>
        <s v="ORD00473"/>
        <s v="ORD00474"/>
        <s v="ORD00475"/>
        <s v="ORD00476"/>
        <s v="ORD00477"/>
        <s v="ORD00478"/>
        <s v="ORD00479"/>
        <s v="ORD00480"/>
        <s v="ORD00481"/>
        <s v="ORD00482"/>
        <s v="ORD00483"/>
        <s v="ORD00484"/>
        <s v="ORD00485"/>
        <s v="ORD00486"/>
        <s v="ORD00487"/>
        <s v="ORD00488"/>
        <s v="ORD00489"/>
        <s v="ORD00490"/>
        <s v="ORD00491"/>
        <s v="ORD00492"/>
        <s v="ORD00493"/>
        <s v="ORD00494"/>
        <s v="ORD00495"/>
        <s v="ORD00496"/>
        <s v="ORD00497"/>
        <s v="ORD00498"/>
        <s v="ORD00499"/>
        <s v="ORD00500"/>
        <s v="ORD00501"/>
        <s v="ORD00502"/>
        <s v="ORD00503"/>
        <s v="ORD00504"/>
        <s v="ORD00505"/>
        <s v="ORD00506"/>
        <s v="ORD00507"/>
        <s v="ORD00508"/>
        <s v="ORD00509"/>
        <s v="ORD00510"/>
        <s v="ORD00511"/>
        <s v="ORD00512"/>
        <s v="ORD00513"/>
        <s v="ORD00514"/>
        <s v="ORD00515"/>
        <s v="ORD00516"/>
        <s v="ORD00517"/>
        <s v="ORD00518"/>
        <s v="ORD00519"/>
        <s v="ORD00520"/>
        <s v="ORD00521"/>
        <s v="ORD00522"/>
        <s v="ORD00523"/>
        <s v="ORD00524"/>
        <s v="ORD00525"/>
        <s v="ORD00526"/>
        <s v="ORD00527"/>
        <s v="ORD00528"/>
        <s v="ORD00529"/>
        <s v="ORD00530"/>
        <s v="ORD00531"/>
        <s v="ORD00532"/>
        <s v="ORD00533"/>
        <s v="ORD00534"/>
        <s v="ORD00535"/>
        <s v="ORD00536"/>
        <s v="ORD00537"/>
        <s v="ORD00538"/>
        <s v="ORD00539"/>
        <s v="ORD00540"/>
        <s v="ORD00541"/>
        <s v="ORD00542"/>
        <s v="ORD00543"/>
        <s v="ORD00544"/>
        <s v="ORD00545"/>
        <s v="ORD00546"/>
        <s v="ORD00547"/>
        <s v="ORD00548"/>
        <s v="ORD00549"/>
        <s v="ORD00550"/>
        <s v="ORD00551"/>
        <s v="ORD00552"/>
        <s v="ORD00553"/>
        <s v="ORD00554"/>
        <s v="ORD00555"/>
        <s v="ORD00556"/>
        <s v="ORD00557"/>
        <s v="ORD00558"/>
        <s v="ORD00559"/>
        <s v="ORD00560"/>
        <s v="ORD00561"/>
        <s v="ORD00562"/>
        <s v="ORD00563"/>
        <s v="ORD00564"/>
        <s v="ORD00565"/>
        <s v="ORD00566"/>
        <s v="ORD00567"/>
        <s v="ORD00568"/>
        <s v="ORD00569"/>
        <s v="ORD00570"/>
        <s v="ORD00571"/>
        <s v="ORD00572"/>
        <s v="ORD00573"/>
        <s v="ORD00574"/>
        <s v="ORD00575"/>
        <s v="ORD00576"/>
        <s v="ORD00577"/>
        <s v="ORD00578"/>
        <s v="ORD00579"/>
        <s v="ORD00580"/>
        <s v="ORD00581"/>
        <s v="ORD00582"/>
        <s v="ORD00583"/>
        <s v="ORD00584"/>
        <s v="ORD00585"/>
        <s v="ORD00586"/>
        <s v="ORD00587"/>
        <s v="ORD00588"/>
        <s v="ORD00589"/>
        <s v="ORD00590"/>
        <s v="ORD00591"/>
        <s v="ORD00592"/>
        <s v="ORD00593"/>
        <s v="ORD00594"/>
        <s v="ORD00595"/>
        <s v="ORD00596"/>
        <s v="ORD00597"/>
        <s v="ORD00598"/>
        <s v="ORD00599"/>
        <s v="ORD00600"/>
        <s v="ORD00601"/>
        <s v="ORD00602"/>
        <s v="ORD00603"/>
        <s v="ORD00604"/>
        <s v="ORD00605"/>
        <s v="ORD00606"/>
        <s v="ORD00607"/>
        <s v="ORD00608"/>
        <s v="ORD00609"/>
        <s v="ORD00610"/>
        <s v="ORD00611"/>
        <s v="ORD00612"/>
        <s v="ORD00613"/>
        <s v="ORD00614"/>
        <s v="ORD00615"/>
        <s v="ORD00616"/>
        <s v="ORD00617"/>
        <s v="ORD00618"/>
        <s v="ORD00619"/>
        <s v="ORD00620"/>
        <s v="ORD00621"/>
        <s v="ORD00622"/>
        <s v="ORD00623"/>
        <s v="ORD00624"/>
        <s v="ORD00625"/>
        <s v="ORD00626"/>
        <s v="ORD00627"/>
        <s v="ORD00628"/>
        <s v="ORD00629"/>
        <s v="ORD00630"/>
        <s v="ORD00631"/>
        <s v="ORD00632"/>
        <s v="ORD00633"/>
        <s v="ORD00634"/>
        <s v="ORD00635"/>
        <s v="ORD00636"/>
        <s v="ORD00637"/>
        <s v="ORD00638"/>
        <s v="ORD00639"/>
        <s v="ORD00640"/>
        <s v="ORD00641"/>
        <s v="ORD00642"/>
        <s v="ORD00643"/>
        <s v="ORD00644"/>
        <s v="ORD00645"/>
        <s v="ORD00646"/>
        <s v="ORD00647"/>
        <s v="ORD00648"/>
        <s v="ORD00649"/>
        <s v="ORD00650"/>
        <s v="ORD00651"/>
        <s v="ORD00652"/>
        <s v="ORD00653"/>
        <s v="ORD00654"/>
        <s v="ORD00655"/>
        <s v="ORD00656"/>
        <s v="ORD00657"/>
        <s v="ORD00658"/>
        <s v="ORD00659"/>
        <s v="ORD00660"/>
        <s v="ORD00661"/>
        <s v="ORD00662"/>
        <s v="ORD00663"/>
        <s v="ORD00664"/>
        <s v="ORD00665"/>
        <s v="ORD00666"/>
        <s v="ORD00667"/>
        <s v="ORD00668"/>
        <s v="ORD00669"/>
        <s v="ORD00670"/>
        <s v="ORD00671"/>
        <s v="ORD00672"/>
        <s v="ORD00673"/>
        <s v="ORD00674"/>
        <s v="ORD00675"/>
        <s v="ORD00676"/>
        <s v="ORD00677"/>
        <s v="ORD00678"/>
        <s v="ORD00679"/>
        <s v="ORD00680"/>
        <s v="ORD00681"/>
        <s v="ORD00682"/>
        <s v="ORD00683"/>
        <s v="ORD00684"/>
        <s v="ORD00685"/>
        <s v="ORD00686"/>
        <s v="ORD00687"/>
        <s v="ORD00688"/>
        <s v="ORD00689"/>
        <s v="ORD00690"/>
        <s v="ORD00691"/>
        <s v="ORD00692"/>
        <s v="ORD00693"/>
        <s v="ORD00694"/>
        <s v="ORD00695"/>
        <s v="ORD00696"/>
        <s v="ORD00697"/>
        <s v="ORD00698"/>
        <s v="ORD00699"/>
      </sharedItems>
    </cacheField>
    <cacheField name="Product Name" numFmtId="0">
      <sharedItems count="25">
        <s v="Educational Book"/>
        <s v="Jeans"/>
        <s v="Face Cream"/>
        <s v="Smartwatch"/>
        <s v="Cookware Set"/>
        <s v="Mixer Grinder"/>
        <s v="Sneakers"/>
        <s v="Table Lamp"/>
        <s v="Jacket"/>
        <s v="Tablet"/>
        <s v="Perfume"/>
        <s v="Lipstick"/>
        <s v="Smartphone"/>
        <s v="Comic Book"/>
        <s v="Cookbook"/>
        <s v="T-Shirt"/>
        <s v="Bedsheet"/>
        <s v="Hair Dryer"/>
        <s v="Laptop"/>
        <s v="Shampoo"/>
        <s v="Headphones"/>
        <s v="Fiction Novel"/>
        <s v="Self-Help Book"/>
        <s v="Sofa Cover"/>
        <s v="Dress"/>
      </sharedItems>
    </cacheField>
    <cacheField name="Category" numFmtId="0">
      <sharedItems count="5">
        <s v="Books"/>
        <s v="Clothing"/>
        <s v="Beauty"/>
        <s v="Electronics"/>
        <s v="Home &amp; Kitchen"/>
      </sharedItems>
    </cacheField>
    <cacheField name="Price (INR)" numFmtId="1">
      <sharedItems containsSemiMixedTypes="0" containsString="0" containsNumber="1" minValue="218.58" maxValue="49861.17"/>
    </cacheField>
    <cacheField name="Quantity Sold" numFmtId="0">
      <sharedItems containsSemiMixedTypes="0" containsString="0" containsNumber="1" containsInteger="1" minValue="1" maxValue="5" count="5">
        <n v="2"/>
        <n v="4"/>
        <n v="1"/>
        <n v="3"/>
        <n v="5"/>
      </sharedItems>
    </cacheField>
    <cacheField name="Total Sales (INR)" numFmtId="1">
      <sharedItems containsSemiMixedTypes="0" containsString="0" containsNumber="1" minValue="492.53" maxValue="243903.9"/>
    </cacheField>
    <cacheField name="Order Date" numFmtId="14">
      <sharedItems containsSemiMixedTypes="0" containsNonDate="0" containsDate="1" containsString="0" minDate="2024-02-12T00:00:00" maxDate="2025-02-10T00:00:00" count="310">
        <d v="2024-09-12T00:00:00"/>
        <d v="2024-12-18T00:00:00"/>
        <d v="2024-05-18T00:00:00"/>
        <d v="2024-11-08T00:00:00"/>
        <d v="2024-12-27T00:00:00"/>
        <d v="2024-10-22T00:00:00"/>
        <d v="2024-07-04T00:00:00"/>
        <d v="2025-01-18T00:00:00"/>
        <d v="2024-03-14T00:00:00"/>
        <d v="2025-02-08T00:00:00"/>
        <d v="2024-04-13T00:00:00"/>
        <d v="2024-02-23T00:00:00"/>
        <d v="2024-06-02T00:00:00"/>
        <d v="2024-03-30T00:00:00"/>
        <d v="2024-04-22T00:00:00"/>
        <d v="2024-03-22T00:00:00"/>
        <d v="2025-01-06T00:00:00"/>
        <d v="2024-07-09T00:00:00"/>
        <d v="2025-01-22T00:00:00"/>
        <d v="2024-06-23T00:00:00"/>
        <d v="2024-03-19T00:00:00"/>
        <d v="2024-11-24T00:00:00"/>
        <d v="2024-07-23T00:00:00"/>
        <d v="2024-08-24T00:00:00"/>
        <d v="2024-07-21T00:00:00"/>
        <d v="2024-04-16T00:00:00"/>
        <d v="2024-08-05T00:00:00"/>
        <d v="2024-04-14T00:00:00"/>
        <d v="2024-10-17T00:00:00"/>
        <d v="2024-10-01T00:00:00"/>
        <d v="2024-07-15T00:00:00"/>
        <d v="2024-05-01T00:00:00"/>
        <d v="2024-06-10T00:00:00"/>
        <d v="2024-06-27T00:00:00"/>
        <d v="2024-07-31T00:00:00"/>
        <d v="2024-10-26T00:00:00"/>
        <d v="2024-02-12T00:00:00"/>
        <d v="2024-06-06T00:00:00"/>
        <d v="2024-12-14T00:00:00"/>
        <d v="2024-10-09T00:00:00"/>
        <d v="2024-02-15T00:00:00"/>
        <d v="2024-07-25T00:00:00"/>
        <d v="2024-06-22T00:00:00"/>
        <d v="2024-11-28T00:00:00"/>
        <d v="2024-08-11T00:00:00"/>
        <d v="2024-09-10T00:00:00"/>
        <d v="2024-10-30T00:00:00"/>
        <d v="2024-11-11T00:00:00"/>
        <d v="2024-11-22T00:00:00"/>
        <d v="2024-10-04T00:00:00"/>
        <d v="2024-04-04T00:00:00"/>
        <d v="2024-09-03T00:00:00"/>
        <d v="2024-05-16T00:00:00"/>
        <d v="2024-08-30T00:00:00"/>
        <d v="2024-06-13T00:00:00"/>
        <d v="2024-07-28T00:00:00"/>
        <d v="2024-07-10T00:00:00"/>
        <d v="2025-01-02T00:00:00"/>
        <d v="2024-12-22T00:00:00"/>
        <d v="2024-05-06T00:00:00"/>
        <d v="2024-02-26T00:00:00"/>
        <d v="2024-04-08T00:00:00"/>
        <d v="2024-04-28T00:00:00"/>
        <d v="2024-03-24T00:00:00"/>
        <d v="2024-07-05T00:00:00"/>
        <d v="2024-09-07T00:00:00"/>
        <d v="2024-02-13T00:00:00"/>
        <d v="2024-08-25T00:00:00"/>
        <d v="2024-03-25T00:00:00"/>
        <d v="2024-06-30T00:00:00"/>
        <d v="2024-07-16T00:00:00"/>
        <d v="2025-02-09T00:00:00"/>
        <d v="2024-12-10T00:00:00"/>
        <d v="2024-11-07T00:00:00"/>
        <d v="2024-12-03T00:00:00"/>
        <d v="2024-10-27T00:00:00"/>
        <d v="2024-05-30T00:00:00"/>
        <d v="2024-04-12T00:00:00"/>
        <d v="2024-06-28T00:00:00"/>
        <d v="2024-09-24T00:00:00"/>
        <d v="2024-04-01T00:00:00"/>
        <d v="2024-11-23T00:00:00"/>
        <d v="2024-05-23T00:00:00"/>
        <d v="2025-01-12T00:00:00"/>
        <d v="2025-01-28T00:00:00"/>
        <d v="2024-05-31T00:00:00"/>
        <d v="2025-02-02T00:00:00"/>
        <d v="2024-12-06T00:00:00"/>
        <d v="2024-09-05T00:00:00"/>
        <d v="2024-07-07T00:00:00"/>
        <d v="2024-07-14T00:00:00"/>
        <d v="2024-09-22T00:00:00"/>
        <d v="2024-05-10T00:00:00"/>
        <d v="2024-05-04T00:00:00"/>
        <d v="2024-06-25T00:00:00"/>
        <d v="2024-08-04T00:00:00"/>
        <d v="2024-09-11T00:00:00"/>
        <d v="2024-12-23T00:00:00"/>
        <d v="2024-10-07T00:00:00"/>
        <d v="2024-05-25T00:00:00"/>
        <d v="2024-07-18T00:00:00"/>
        <d v="2025-01-15T00:00:00"/>
        <d v="2024-05-27T00:00:00"/>
        <d v="2024-03-21T00:00:00"/>
        <d v="2024-04-21T00:00:00"/>
        <d v="2024-09-13T00:00:00"/>
        <d v="2024-08-26T00:00:00"/>
        <d v="2024-10-02T00:00:00"/>
        <d v="2024-05-02T00:00:00"/>
        <d v="2024-08-10T00:00:00"/>
        <d v="2024-06-17T00:00:00"/>
        <d v="2025-01-11T00:00:00"/>
        <d v="2024-04-20T00:00:00"/>
        <d v="2024-06-01T00:00:00"/>
        <d v="2024-10-28T00:00:00"/>
        <d v="2025-02-03T00:00:00"/>
        <d v="2025-01-01T00:00:00"/>
        <d v="2025-01-27T00:00:00"/>
        <d v="2024-09-19T00:00:00"/>
        <d v="2024-03-04T00:00:00"/>
        <d v="2024-05-11T00:00:00"/>
        <d v="2024-08-21T00:00:00"/>
        <d v="2024-09-27T00:00:00"/>
        <d v="2024-12-31T00:00:00"/>
        <d v="2024-02-20T00:00:00"/>
        <d v="2024-03-23T00:00:00"/>
        <d v="2024-11-21T00:00:00"/>
        <d v="2025-01-05T00:00:00"/>
        <d v="2024-08-06T00:00:00"/>
        <d v="2024-10-18T00:00:00"/>
        <d v="2024-12-20T00:00:00"/>
        <d v="2024-04-11T00:00:00"/>
        <d v="2024-11-29T00:00:00"/>
        <d v="2024-06-03T00:00:00"/>
        <d v="2025-01-14T00:00:00"/>
        <d v="2024-07-22T00:00:00"/>
        <d v="2024-07-29T00:00:00"/>
        <d v="2025-01-24T00:00:00"/>
        <d v="2024-12-04T00:00:00"/>
        <d v="2024-03-05T00:00:00"/>
        <d v="2024-08-31T00:00:00"/>
        <d v="2024-12-02T00:00:00"/>
        <d v="2024-03-06T00:00:00"/>
        <d v="2024-12-19T00:00:00"/>
        <d v="2024-08-02T00:00:00"/>
        <d v="2024-05-14T00:00:00"/>
        <d v="2024-09-04T00:00:00"/>
        <d v="2024-05-09T00:00:00"/>
        <d v="2024-02-18T00:00:00"/>
        <d v="2024-09-30T00:00:00"/>
        <d v="2024-07-11T00:00:00"/>
        <d v="2024-10-24T00:00:00"/>
        <d v="2024-10-16T00:00:00"/>
        <d v="2024-08-23T00:00:00"/>
        <d v="2024-03-27T00:00:00"/>
        <d v="2024-11-02T00:00:00"/>
        <d v="2024-09-02T00:00:00"/>
        <d v="2024-10-05T00:00:00"/>
        <d v="2024-04-05T00:00:00"/>
        <d v="2024-11-14T00:00:00"/>
        <d v="2024-12-26T00:00:00"/>
        <d v="2024-06-08T00:00:00"/>
        <d v="2024-09-18T00:00:00"/>
        <d v="2024-07-19T00:00:00"/>
        <d v="2024-04-06T00:00:00"/>
        <d v="2025-01-30T00:00:00"/>
        <d v="2024-12-28T00:00:00"/>
        <d v="2024-05-20T00:00:00"/>
        <d v="2024-09-09T00:00:00"/>
        <d v="2024-10-19T00:00:00"/>
        <d v="2024-06-18T00:00:00"/>
        <d v="2024-11-13T00:00:00"/>
        <d v="2024-08-12T00:00:00"/>
        <d v="2024-08-17T00:00:00"/>
        <d v="2024-05-15T00:00:00"/>
        <d v="2024-06-16T00:00:00"/>
        <d v="2024-06-15T00:00:00"/>
        <d v="2024-11-04T00:00:00"/>
        <d v="2025-02-01T00:00:00"/>
        <d v="2024-03-28T00:00:00"/>
        <d v="2024-12-11T00:00:00"/>
        <d v="2024-09-15T00:00:00"/>
        <d v="2024-02-24T00:00:00"/>
        <d v="2024-11-15T00:00:00"/>
        <d v="2024-08-16T00:00:00"/>
        <d v="2024-10-06T00:00:00"/>
        <d v="2024-09-01T00:00:00"/>
        <d v="2024-09-06T00:00:00"/>
        <d v="2024-05-22T00:00:00"/>
        <d v="2024-03-03T00:00:00"/>
        <d v="2024-05-19T00:00:00"/>
        <d v="2024-12-12T00:00:00"/>
        <d v="2024-03-26T00:00:00"/>
        <d v="2024-08-09T00:00:00"/>
        <d v="2024-02-21T00:00:00"/>
        <d v="2024-05-29T00:00:00"/>
        <d v="2024-07-13T00:00:00"/>
        <d v="2025-02-07T00:00:00"/>
        <d v="2024-04-02T00:00:00"/>
        <d v="2025-01-23T00:00:00"/>
        <d v="2025-01-10T00:00:00"/>
        <d v="2024-11-09T00:00:00"/>
        <d v="2024-11-10T00:00:00"/>
        <d v="2024-04-27T00:00:00"/>
        <d v="2025-02-06T00:00:00"/>
        <d v="2024-07-02T00:00:00"/>
        <d v="2024-11-05T00:00:00"/>
        <d v="2024-11-01T00:00:00"/>
        <d v="2024-11-25T00:00:00"/>
        <d v="2024-12-08T00:00:00"/>
        <d v="2024-09-20T00:00:00"/>
        <d v="2024-06-21T00:00:00"/>
        <d v="2024-07-08T00:00:00"/>
        <d v="2024-03-07T00:00:00"/>
        <d v="2024-11-30T00:00:00"/>
        <d v="2024-10-13T00:00:00"/>
        <d v="2024-10-10T00:00:00"/>
        <d v="2024-04-07T00:00:00"/>
        <d v="2024-02-19T00:00:00"/>
        <d v="2025-01-08T00:00:00"/>
        <d v="2024-04-03T00:00:00"/>
        <d v="2025-01-29T00:00:00"/>
        <d v="2024-08-27T00:00:00"/>
        <d v="2024-02-28T00:00:00"/>
        <d v="2024-06-05T00:00:00"/>
        <d v="2024-08-14T00:00:00"/>
        <d v="2024-05-03T00:00:00"/>
        <d v="2025-01-25T00:00:00"/>
        <d v="2024-09-28T00:00:00"/>
        <d v="2024-10-15T00:00:00"/>
        <d v="2024-12-30T00:00:00"/>
        <d v="2024-03-09T00:00:00"/>
        <d v="2024-03-20T00:00:00"/>
        <d v="2024-03-15T00:00:00"/>
        <d v="2024-09-21T00:00:00"/>
        <d v="2024-05-26T00:00:00"/>
        <d v="2024-11-26T00:00:00"/>
        <d v="2024-05-28T00:00:00"/>
        <d v="2025-01-07T00:00:00"/>
        <d v="2024-04-17T00:00:00"/>
        <d v="2024-06-12T00:00:00"/>
        <d v="2024-05-12T00:00:00"/>
        <d v="2024-07-03T00:00:00"/>
        <d v="2025-01-19T00:00:00"/>
        <d v="2024-02-17T00:00:00"/>
        <d v="2024-07-17T00:00:00"/>
        <d v="2024-06-04T00:00:00"/>
        <d v="2024-03-12T00:00:00"/>
        <d v="2024-03-10T00:00:00"/>
        <d v="2024-04-19T00:00:00"/>
        <d v="2024-08-13T00:00:00"/>
        <d v="2024-07-27T00:00:00"/>
        <d v="2024-04-15T00:00:00"/>
        <d v="2024-12-16T00:00:00"/>
        <d v="2024-12-09T00:00:00"/>
        <d v="2024-08-18T00:00:00"/>
        <d v="2024-06-09T00:00:00"/>
        <d v="2024-10-25T00:00:00"/>
        <d v="2024-08-20T00:00:00"/>
        <d v="2024-02-22T00:00:00"/>
        <d v="2024-05-05T00:00:00"/>
        <d v="2024-03-13T00:00:00"/>
        <d v="2024-04-10T00:00:00"/>
        <d v="2024-03-31T00:00:00"/>
        <d v="2024-04-23T00:00:00"/>
        <d v="2024-03-17T00:00:00"/>
        <d v="2024-09-16T00:00:00"/>
        <d v="2024-05-24T00:00:00"/>
        <d v="2024-11-27T00:00:00"/>
        <d v="2024-04-26T00:00:00"/>
        <d v="2024-07-12T00:00:00"/>
        <d v="2024-06-20T00:00:00"/>
        <d v="2024-07-24T00:00:00"/>
        <d v="2024-09-29T00:00:00"/>
        <d v="2024-12-15T00:00:00"/>
        <d v="2024-11-16T00:00:00"/>
        <d v="2024-03-02T00:00:00"/>
        <d v="2024-10-31T00:00:00"/>
        <d v="2024-11-19T00:00:00"/>
        <d v="2024-11-03T00:00:00"/>
        <d v="2024-04-24T00:00:00"/>
        <d v="2024-06-26T00:00:00"/>
        <d v="2025-01-21T00:00:00"/>
        <d v="2024-09-26T00:00:00"/>
        <d v="2024-05-13T00:00:00"/>
        <d v="2024-04-30T00:00:00"/>
        <d v="2024-12-29T00:00:00"/>
        <d v="2024-08-07T00:00:00"/>
        <d v="2024-05-17T00:00:00"/>
        <d v="2024-09-23T00:00:00"/>
        <d v="2024-12-25T00:00:00"/>
        <d v="2024-06-19T00:00:00"/>
        <d v="2025-01-16T00:00:00"/>
        <d v="2024-05-08T00:00:00"/>
        <d v="2024-04-29T00:00:00"/>
        <d v="2025-02-05T00:00:00"/>
        <d v="2024-07-06T00:00:00"/>
        <d v="2025-01-17T00:00:00"/>
        <d v="2024-07-20T00:00:00"/>
        <d v="2024-08-29T00:00:00"/>
        <d v="2024-06-14T00:00:00"/>
        <d v="2024-08-08T00:00:00"/>
        <d v="2024-10-29T00:00:00"/>
        <d v="2024-04-25T00:00:00"/>
        <d v="2024-11-17T00:00:00"/>
        <d v="2024-03-01T00:00:00"/>
        <d v="2024-03-16T00:00:00"/>
        <d v="2024-09-08T00:00:00"/>
        <d v="2024-11-12T00:00:00"/>
        <d v="2025-01-26T00:00:00"/>
      </sharedItems>
      <fieldGroup par="11"/>
    </cacheField>
    <cacheField name="Payment Method" numFmtId="0">
      <sharedItems count="6">
        <s v="Debit Card"/>
        <s v="UPI"/>
        <s v="Wallet"/>
        <s v="COD"/>
        <s v="Credit Card"/>
        <s v="Net Banking"/>
      </sharedItems>
    </cacheField>
    <cacheField name="Customer Rating" numFmtId="0">
      <sharedItems containsSemiMixedTypes="0" containsString="0" containsNumber="1" minValue="1" maxValue="5"/>
    </cacheField>
    <cacheField name="Months (Order Date)" numFmtId="0" databaseField="0">
      <fieldGroup base="6">
        <rangePr groupBy="months" startDate="2024-02-12T00:00:00" endDate="2025-02-10T00:00:00"/>
        <groupItems count="14">
          <s v="&lt;2/12/2024"/>
          <s v="Jan"/>
          <s v="Feb"/>
          <s v="Mar"/>
          <s v="Apr"/>
          <s v="May"/>
          <s v="Jun"/>
          <s v="Jul"/>
          <s v="Aug"/>
          <s v="Sep"/>
          <s v="Oct"/>
          <s v="Nov"/>
          <s v="Dec"/>
          <s v="&gt;2/10/2025"/>
        </groupItems>
      </fieldGroup>
    </cacheField>
    <cacheField name="Quarters (Order Date)" numFmtId="0" databaseField="0">
      <fieldGroup base="6">
        <rangePr groupBy="quarters" startDate="2024-02-12T00:00:00" endDate="2025-02-10T00:00:00"/>
        <groupItems count="6">
          <s v="&lt;2/12/2024"/>
          <s v="Qtr1"/>
          <s v="Qtr2"/>
          <s v="Qtr3"/>
          <s v="Qtr4"/>
          <s v="&gt;2/10/2025"/>
        </groupItems>
      </fieldGroup>
    </cacheField>
    <cacheField name="Years (Order Date)" numFmtId="0" databaseField="0">
      <fieldGroup base="6">
        <rangePr groupBy="years" startDate="2024-02-12T00:00:00" endDate="2025-02-10T00:00:00"/>
        <groupItems count="4">
          <s v="&lt;2/12/2024"/>
          <s v="2024"/>
          <s v="2025"/>
          <s v="&gt;2/10/2025"/>
        </groupItems>
      </fieldGroup>
    </cacheField>
  </cacheFields>
  <extLst>
    <ext xmlns:x14="http://schemas.microsoft.com/office/spreadsheetml/2009/9/main" uri="{725AE2AE-9491-48be-B2B4-4EB974FC3084}">
      <x14:pivotCacheDefinition pivotCacheId="231982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9">
  <r>
    <s v="ORD00001"/>
    <x v="0"/>
    <x v="0"/>
    <n v="49069.56"/>
    <n v="2"/>
    <n v="98139.12"/>
    <x v="0"/>
    <x v="0"/>
    <n v="3.5"/>
  </r>
  <r>
    <s v="ORD00002"/>
    <x v="1"/>
    <x v="1"/>
    <n v="12755.85"/>
    <n v="4"/>
    <n v="51023.4"/>
    <x v="1"/>
    <x v="1"/>
    <n v="3.9"/>
  </r>
  <r>
    <s v="ORD00003"/>
    <x v="2"/>
    <x v="2"/>
    <n v="11092.19"/>
    <n v="4"/>
    <n v="44368.76"/>
    <x v="2"/>
    <x v="0"/>
    <n v="4.4000000000000004"/>
  </r>
  <r>
    <s v="ORD00004"/>
    <x v="3"/>
    <x v="3"/>
    <n v="32657.81"/>
    <n v="1"/>
    <n v="32657.81"/>
    <x v="3"/>
    <x v="0"/>
    <n v="3.2"/>
  </r>
  <r>
    <s v="ORD00005"/>
    <x v="4"/>
    <x v="4"/>
    <n v="26590.080000000002"/>
    <n v="3"/>
    <n v="79770.240000000005"/>
    <x v="4"/>
    <x v="1"/>
    <n v="3.1"/>
  </r>
  <r>
    <s v="ORD00006"/>
    <x v="5"/>
    <x v="4"/>
    <n v="10475.030000000001"/>
    <n v="2"/>
    <n v="20950.060000000001"/>
    <x v="5"/>
    <x v="2"/>
    <n v="1.7"/>
  </r>
  <r>
    <s v="ORD00007"/>
    <x v="6"/>
    <x v="1"/>
    <n v="38647.72"/>
    <n v="3"/>
    <n v="115943.16"/>
    <x v="6"/>
    <x v="2"/>
    <n v="2"/>
  </r>
  <r>
    <s v="ORD00008"/>
    <x v="7"/>
    <x v="4"/>
    <n v="24818.59"/>
    <n v="3"/>
    <n v="74455.77"/>
    <x v="4"/>
    <x v="0"/>
    <n v="2.4"/>
  </r>
  <r>
    <s v="ORD00009"/>
    <x v="8"/>
    <x v="1"/>
    <n v="1987.39"/>
    <n v="2"/>
    <n v="3974.78"/>
    <x v="7"/>
    <x v="0"/>
    <n v="2.6"/>
  </r>
  <r>
    <s v="ORD00010"/>
    <x v="9"/>
    <x v="3"/>
    <n v="26876.51"/>
    <n v="2"/>
    <n v="53753.02"/>
    <x v="8"/>
    <x v="0"/>
    <n v="4"/>
  </r>
  <r>
    <s v="ORD00011"/>
    <x v="10"/>
    <x v="2"/>
    <n v="46409.57"/>
    <n v="5"/>
    <n v="232047.85"/>
    <x v="9"/>
    <x v="1"/>
    <n v="2.2999999999999998"/>
  </r>
  <r>
    <s v="ORD00012"/>
    <x v="11"/>
    <x v="2"/>
    <n v="48780.78"/>
    <n v="5"/>
    <n v="243903.9"/>
    <x v="10"/>
    <x v="1"/>
    <n v="1.3"/>
  </r>
  <r>
    <s v="ORD00013"/>
    <x v="0"/>
    <x v="0"/>
    <n v="6670.82"/>
    <n v="5"/>
    <n v="33354.1"/>
    <x v="11"/>
    <x v="3"/>
    <n v="1.2"/>
  </r>
  <r>
    <s v="ORD00014"/>
    <x v="12"/>
    <x v="3"/>
    <n v="10826.05"/>
    <n v="1"/>
    <n v="10826.05"/>
    <x v="12"/>
    <x v="2"/>
    <n v="3.7"/>
  </r>
  <r>
    <s v="ORD00015"/>
    <x v="13"/>
    <x v="0"/>
    <n v="6839.1"/>
    <n v="1"/>
    <n v="6839.1"/>
    <x v="0"/>
    <x v="4"/>
    <n v="1.6"/>
  </r>
  <r>
    <s v="ORD00016"/>
    <x v="5"/>
    <x v="4"/>
    <n v="18197.89"/>
    <n v="5"/>
    <n v="90989.45"/>
    <x v="13"/>
    <x v="0"/>
    <n v="1.6"/>
  </r>
  <r>
    <s v="ORD00017"/>
    <x v="14"/>
    <x v="0"/>
    <n v="20817.46"/>
    <n v="2"/>
    <n v="41634.92"/>
    <x v="13"/>
    <x v="0"/>
    <n v="2.2999999999999998"/>
  </r>
  <r>
    <s v="ORD00018"/>
    <x v="10"/>
    <x v="2"/>
    <n v="44061.25"/>
    <n v="4"/>
    <n v="176245"/>
    <x v="14"/>
    <x v="3"/>
    <n v="2.5"/>
  </r>
  <r>
    <s v="ORD00019"/>
    <x v="14"/>
    <x v="0"/>
    <n v="4398.59"/>
    <n v="5"/>
    <n v="21992.95"/>
    <x v="15"/>
    <x v="2"/>
    <n v="4"/>
  </r>
  <r>
    <s v="ORD00020"/>
    <x v="15"/>
    <x v="1"/>
    <n v="32565.77"/>
    <n v="5"/>
    <n v="162828.85"/>
    <x v="16"/>
    <x v="3"/>
    <n v="4.4000000000000004"/>
  </r>
  <r>
    <s v="ORD00021"/>
    <x v="4"/>
    <x v="4"/>
    <n v="47529.36"/>
    <n v="1"/>
    <n v="47529.36"/>
    <x v="17"/>
    <x v="5"/>
    <n v="4.5"/>
  </r>
  <r>
    <s v="ORD00022"/>
    <x v="1"/>
    <x v="1"/>
    <n v="37129.730000000003"/>
    <n v="3"/>
    <n v="111389.19"/>
    <x v="18"/>
    <x v="2"/>
    <n v="4.3"/>
  </r>
  <r>
    <s v="ORD00023"/>
    <x v="0"/>
    <x v="0"/>
    <n v="48258.19"/>
    <n v="4"/>
    <n v="193032.76"/>
    <x v="19"/>
    <x v="1"/>
    <n v="1.6"/>
  </r>
  <r>
    <s v="ORD00024"/>
    <x v="16"/>
    <x v="4"/>
    <n v="32505.96"/>
    <n v="1"/>
    <n v="32505.96"/>
    <x v="20"/>
    <x v="2"/>
    <n v="2.8"/>
  </r>
  <r>
    <s v="ORD00025"/>
    <x v="4"/>
    <x v="4"/>
    <n v="4165.6400000000003"/>
    <n v="2"/>
    <n v="8331.2800000000007"/>
    <x v="21"/>
    <x v="3"/>
    <n v="1.1000000000000001"/>
  </r>
  <r>
    <s v="ORD00026"/>
    <x v="15"/>
    <x v="1"/>
    <n v="2053.11"/>
    <n v="4"/>
    <n v="8212.44"/>
    <x v="22"/>
    <x v="3"/>
    <n v="3.4"/>
  </r>
  <r>
    <s v="ORD00027"/>
    <x v="1"/>
    <x v="1"/>
    <n v="38927.620000000003"/>
    <n v="4"/>
    <n v="155710.48000000001"/>
    <x v="23"/>
    <x v="2"/>
    <n v="2.5"/>
  </r>
  <r>
    <s v="ORD00028"/>
    <x v="5"/>
    <x v="4"/>
    <n v="28978.47"/>
    <n v="4"/>
    <n v="115913.88"/>
    <x v="24"/>
    <x v="1"/>
    <n v="2.2999999999999998"/>
  </r>
  <r>
    <s v="ORD00029"/>
    <x v="11"/>
    <x v="2"/>
    <n v="21293.42"/>
    <n v="5"/>
    <n v="106467.1"/>
    <x v="25"/>
    <x v="2"/>
    <n v="2.2000000000000002"/>
  </r>
  <r>
    <s v="ORD00030"/>
    <x v="11"/>
    <x v="2"/>
    <n v="49097.01"/>
    <n v="4"/>
    <n v="196388.04"/>
    <x v="26"/>
    <x v="4"/>
    <n v="3.7"/>
  </r>
  <r>
    <s v="ORD00031"/>
    <x v="10"/>
    <x v="2"/>
    <n v="47651.19"/>
    <n v="1"/>
    <n v="47651.19"/>
    <x v="27"/>
    <x v="5"/>
    <n v="3.6"/>
  </r>
  <r>
    <s v="ORD00032"/>
    <x v="17"/>
    <x v="2"/>
    <n v="15046.01"/>
    <n v="5"/>
    <n v="75230.05"/>
    <x v="28"/>
    <x v="3"/>
    <n v="1.1000000000000001"/>
  </r>
  <r>
    <s v="ORD00033"/>
    <x v="18"/>
    <x v="3"/>
    <n v="36980.1"/>
    <n v="3"/>
    <n v="110940.3"/>
    <x v="29"/>
    <x v="3"/>
    <n v="3.2"/>
  </r>
  <r>
    <s v="ORD00034"/>
    <x v="7"/>
    <x v="4"/>
    <n v="38144.67"/>
    <n v="2"/>
    <n v="76289.34"/>
    <x v="30"/>
    <x v="5"/>
    <n v="3.1"/>
  </r>
  <r>
    <s v="ORD00035"/>
    <x v="18"/>
    <x v="3"/>
    <n v="49355.45"/>
    <n v="2"/>
    <n v="98710.9"/>
    <x v="31"/>
    <x v="3"/>
    <n v="3.5"/>
  </r>
  <r>
    <s v="ORD00036"/>
    <x v="19"/>
    <x v="2"/>
    <n v="12945.96"/>
    <n v="3"/>
    <n v="38837.879999999997"/>
    <x v="32"/>
    <x v="2"/>
    <n v="1.4"/>
  </r>
  <r>
    <s v="ORD00037"/>
    <x v="10"/>
    <x v="2"/>
    <n v="34927.79"/>
    <n v="4"/>
    <n v="139711.16"/>
    <x v="33"/>
    <x v="4"/>
    <n v="1.1000000000000001"/>
  </r>
  <r>
    <s v="ORD00038"/>
    <x v="7"/>
    <x v="4"/>
    <n v="3677.4"/>
    <n v="3"/>
    <n v="11032.2"/>
    <x v="34"/>
    <x v="1"/>
    <n v="3.7"/>
  </r>
  <r>
    <s v="ORD00039"/>
    <x v="13"/>
    <x v="0"/>
    <n v="37004.54"/>
    <n v="4"/>
    <n v="148018.16"/>
    <x v="35"/>
    <x v="0"/>
    <n v="4"/>
  </r>
  <r>
    <s v="ORD00040"/>
    <x v="14"/>
    <x v="0"/>
    <n v="27961.78"/>
    <n v="5"/>
    <n v="139808.9"/>
    <x v="11"/>
    <x v="5"/>
    <n v="4"/>
  </r>
  <r>
    <s v="ORD00041"/>
    <x v="13"/>
    <x v="0"/>
    <n v="2655.8"/>
    <n v="2"/>
    <n v="5311.6"/>
    <x v="36"/>
    <x v="5"/>
    <n v="3.7"/>
  </r>
  <r>
    <s v="ORD00042"/>
    <x v="20"/>
    <x v="3"/>
    <n v="965.51"/>
    <n v="4"/>
    <n v="3862.04"/>
    <x v="37"/>
    <x v="3"/>
    <n v="3.5"/>
  </r>
  <r>
    <s v="ORD00043"/>
    <x v="16"/>
    <x v="4"/>
    <n v="2980.08"/>
    <n v="3"/>
    <n v="8940.24"/>
    <x v="38"/>
    <x v="5"/>
    <n v="4.2"/>
  </r>
  <r>
    <s v="ORD00044"/>
    <x v="5"/>
    <x v="4"/>
    <n v="8598.58"/>
    <n v="1"/>
    <n v="8598.58"/>
    <x v="39"/>
    <x v="0"/>
    <n v="1.1000000000000001"/>
  </r>
  <r>
    <s v="ORD00045"/>
    <x v="19"/>
    <x v="2"/>
    <n v="31850.15"/>
    <n v="2"/>
    <n v="63700.3"/>
    <x v="27"/>
    <x v="5"/>
    <n v="2.8"/>
  </r>
  <r>
    <s v="ORD00046"/>
    <x v="3"/>
    <x v="3"/>
    <n v="33443.32"/>
    <n v="5"/>
    <n v="167216.6"/>
    <x v="40"/>
    <x v="1"/>
    <n v="2.4"/>
  </r>
  <r>
    <s v="ORD00047"/>
    <x v="8"/>
    <x v="1"/>
    <n v="29592.5"/>
    <n v="5"/>
    <n v="147962.5"/>
    <x v="41"/>
    <x v="5"/>
    <n v="4.7"/>
  </r>
  <r>
    <s v="ORD00048"/>
    <x v="17"/>
    <x v="2"/>
    <n v="11187.38"/>
    <n v="4"/>
    <n v="44749.52"/>
    <x v="42"/>
    <x v="2"/>
    <n v="2.2999999999999998"/>
  </r>
  <r>
    <s v="ORD00049"/>
    <x v="16"/>
    <x v="4"/>
    <n v="23898.58"/>
    <n v="5"/>
    <n v="119492.9"/>
    <x v="43"/>
    <x v="4"/>
    <n v="3.3"/>
  </r>
  <r>
    <s v="ORD00050"/>
    <x v="13"/>
    <x v="0"/>
    <n v="1391.49"/>
    <n v="4"/>
    <n v="5565.96"/>
    <x v="44"/>
    <x v="4"/>
    <n v="4.5"/>
  </r>
  <r>
    <s v="ORD00051"/>
    <x v="1"/>
    <x v="1"/>
    <n v="18607.689999999999"/>
    <n v="5"/>
    <n v="93038.45"/>
    <x v="45"/>
    <x v="3"/>
    <n v="2.4"/>
  </r>
  <r>
    <s v="ORD00052"/>
    <x v="21"/>
    <x v="0"/>
    <n v="46224.88"/>
    <n v="3"/>
    <n v="138674.64000000001"/>
    <x v="46"/>
    <x v="4"/>
    <n v="4.0999999999999996"/>
  </r>
  <r>
    <s v="ORD00053"/>
    <x v="9"/>
    <x v="3"/>
    <n v="11864.13"/>
    <n v="5"/>
    <n v="59320.65"/>
    <x v="47"/>
    <x v="0"/>
    <n v="1.3"/>
  </r>
  <r>
    <s v="ORD00054"/>
    <x v="13"/>
    <x v="0"/>
    <n v="7757.2"/>
    <n v="5"/>
    <n v="38786"/>
    <x v="48"/>
    <x v="2"/>
    <n v="2.2000000000000002"/>
  </r>
  <r>
    <s v="ORD00055"/>
    <x v="3"/>
    <x v="3"/>
    <n v="29745"/>
    <n v="1"/>
    <n v="29745"/>
    <x v="49"/>
    <x v="1"/>
    <n v="3.6"/>
  </r>
  <r>
    <s v="ORD00056"/>
    <x v="1"/>
    <x v="1"/>
    <n v="39176.54"/>
    <n v="5"/>
    <n v="195882.7"/>
    <x v="50"/>
    <x v="5"/>
    <n v="4.0999999999999996"/>
  </r>
  <r>
    <s v="ORD00057"/>
    <x v="1"/>
    <x v="1"/>
    <n v="18075.189999999999"/>
    <n v="5"/>
    <n v="90375.95"/>
    <x v="51"/>
    <x v="0"/>
    <n v="1.7"/>
  </r>
  <r>
    <s v="ORD00058"/>
    <x v="22"/>
    <x v="0"/>
    <n v="18830.59"/>
    <n v="4"/>
    <n v="75322.36"/>
    <x v="52"/>
    <x v="5"/>
    <n v="3.6"/>
  </r>
  <r>
    <s v="ORD00059"/>
    <x v="20"/>
    <x v="3"/>
    <n v="38476.480000000003"/>
    <n v="4"/>
    <n v="153905.92000000001"/>
    <x v="53"/>
    <x v="4"/>
    <n v="2"/>
  </r>
  <r>
    <s v="ORD00060"/>
    <x v="18"/>
    <x v="3"/>
    <n v="27120.36"/>
    <n v="2"/>
    <n v="54240.72"/>
    <x v="54"/>
    <x v="4"/>
    <n v="3.8"/>
  </r>
  <r>
    <s v="ORD00061"/>
    <x v="14"/>
    <x v="0"/>
    <n v="31627"/>
    <n v="5"/>
    <n v="158135"/>
    <x v="55"/>
    <x v="0"/>
    <n v="3.1"/>
  </r>
  <r>
    <s v="ORD00062"/>
    <x v="13"/>
    <x v="0"/>
    <n v="14505.79"/>
    <n v="3"/>
    <n v="43517.37"/>
    <x v="56"/>
    <x v="1"/>
    <n v="3.9"/>
  </r>
  <r>
    <s v="ORD00063"/>
    <x v="3"/>
    <x v="3"/>
    <n v="15229.67"/>
    <n v="3"/>
    <n v="45689.01"/>
    <x v="24"/>
    <x v="4"/>
    <n v="2.7"/>
  </r>
  <r>
    <s v="ORD00064"/>
    <x v="7"/>
    <x v="4"/>
    <n v="2158.12"/>
    <n v="3"/>
    <n v="6474.36"/>
    <x v="57"/>
    <x v="3"/>
    <n v="3.4"/>
  </r>
  <r>
    <s v="ORD00065"/>
    <x v="11"/>
    <x v="2"/>
    <n v="11106.19"/>
    <n v="2"/>
    <n v="22212.38"/>
    <x v="58"/>
    <x v="2"/>
    <n v="1.1000000000000001"/>
  </r>
  <r>
    <s v="ORD00066"/>
    <x v="0"/>
    <x v="0"/>
    <n v="21690.55"/>
    <n v="2"/>
    <n v="43381.1"/>
    <x v="43"/>
    <x v="4"/>
    <n v="1.9"/>
  </r>
  <r>
    <s v="ORD00067"/>
    <x v="17"/>
    <x v="2"/>
    <n v="4225.6899999999996"/>
    <n v="4"/>
    <n v="16902.759999999998"/>
    <x v="59"/>
    <x v="4"/>
    <n v="2.5"/>
  </r>
  <r>
    <s v="ORD00068"/>
    <x v="3"/>
    <x v="3"/>
    <n v="23621.02"/>
    <n v="1"/>
    <n v="23621.02"/>
    <x v="60"/>
    <x v="2"/>
    <n v="4.7"/>
  </r>
  <r>
    <s v="ORD00069"/>
    <x v="0"/>
    <x v="0"/>
    <n v="38937.919999999998"/>
    <n v="3"/>
    <n v="116813.75999999999"/>
    <x v="61"/>
    <x v="4"/>
    <n v="3.4"/>
  </r>
  <r>
    <s v="ORD00070"/>
    <x v="4"/>
    <x v="4"/>
    <n v="2707.97"/>
    <n v="1"/>
    <n v="2707.97"/>
    <x v="62"/>
    <x v="5"/>
    <n v="1.2"/>
  </r>
  <r>
    <s v="ORD00071"/>
    <x v="2"/>
    <x v="2"/>
    <n v="23715.42"/>
    <n v="4"/>
    <n v="94861.68"/>
    <x v="63"/>
    <x v="3"/>
    <n v="2"/>
  </r>
  <r>
    <s v="ORD00072"/>
    <x v="9"/>
    <x v="3"/>
    <n v="9083.5"/>
    <n v="2"/>
    <n v="18167"/>
    <x v="64"/>
    <x v="1"/>
    <n v="1.8"/>
  </r>
  <r>
    <s v="ORD00073"/>
    <x v="11"/>
    <x v="2"/>
    <n v="26379.35"/>
    <n v="4"/>
    <n v="105517.4"/>
    <x v="65"/>
    <x v="1"/>
    <n v="3"/>
  </r>
  <r>
    <s v="ORD00074"/>
    <x v="8"/>
    <x v="1"/>
    <n v="34023.96"/>
    <n v="3"/>
    <n v="102071.88"/>
    <x v="66"/>
    <x v="4"/>
    <n v="4.5999999999999996"/>
  </r>
  <r>
    <s v="ORD00075"/>
    <x v="6"/>
    <x v="1"/>
    <n v="1542.1"/>
    <n v="4"/>
    <n v="6168.4"/>
    <x v="67"/>
    <x v="4"/>
    <n v="1"/>
  </r>
  <r>
    <s v="ORD00076"/>
    <x v="21"/>
    <x v="0"/>
    <n v="42981.08"/>
    <n v="3"/>
    <n v="128943.24"/>
    <x v="68"/>
    <x v="3"/>
    <n v="3.8"/>
  </r>
  <r>
    <s v="ORD00077"/>
    <x v="23"/>
    <x v="4"/>
    <n v="46338.29"/>
    <n v="5"/>
    <n v="231691.45"/>
    <x v="15"/>
    <x v="3"/>
    <n v="3.4"/>
  </r>
  <r>
    <s v="ORD00078"/>
    <x v="20"/>
    <x v="3"/>
    <n v="34161.440000000002"/>
    <n v="1"/>
    <n v="34161.440000000002"/>
    <x v="69"/>
    <x v="2"/>
    <n v="2.4"/>
  </r>
  <r>
    <s v="ORD00079"/>
    <x v="11"/>
    <x v="2"/>
    <n v="21317.31"/>
    <n v="5"/>
    <n v="106586.55"/>
    <x v="70"/>
    <x v="4"/>
    <n v="4"/>
  </r>
  <r>
    <s v="ORD00080"/>
    <x v="2"/>
    <x v="2"/>
    <n v="46011.839999999997"/>
    <n v="4"/>
    <n v="184047.35999999999"/>
    <x v="31"/>
    <x v="3"/>
    <n v="3.3"/>
  </r>
  <r>
    <s v="ORD00081"/>
    <x v="10"/>
    <x v="2"/>
    <n v="2097.9899999999998"/>
    <n v="1"/>
    <n v="2097.9899999999998"/>
    <x v="71"/>
    <x v="0"/>
    <n v="3.2"/>
  </r>
  <r>
    <s v="ORD00082"/>
    <x v="12"/>
    <x v="3"/>
    <n v="17104.91"/>
    <n v="3"/>
    <n v="51314.73"/>
    <x v="72"/>
    <x v="4"/>
    <n v="2.7"/>
  </r>
  <r>
    <s v="ORD00083"/>
    <x v="23"/>
    <x v="4"/>
    <n v="29326.6"/>
    <n v="3"/>
    <n v="87979.8"/>
    <x v="73"/>
    <x v="4"/>
    <n v="4.9000000000000004"/>
  </r>
  <r>
    <s v="ORD00084"/>
    <x v="20"/>
    <x v="3"/>
    <n v="28892.73"/>
    <n v="4"/>
    <n v="115570.92"/>
    <x v="47"/>
    <x v="3"/>
    <n v="1.3"/>
  </r>
  <r>
    <s v="ORD00085"/>
    <x v="9"/>
    <x v="3"/>
    <n v="35033.120000000003"/>
    <n v="4"/>
    <n v="140132.48000000001"/>
    <x v="74"/>
    <x v="1"/>
    <n v="4.7"/>
  </r>
  <r>
    <s v="ORD00086"/>
    <x v="1"/>
    <x v="1"/>
    <n v="40069.300000000003"/>
    <n v="3"/>
    <n v="120207.9"/>
    <x v="75"/>
    <x v="0"/>
    <n v="2.4"/>
  </r>
  <r>
    <s v="ORD00087"/>
    <x v="13"/>
    <x v="0"/>
    <n v="20613.14"/>
    <n v="4"/>
    <n v="82452.56"/>
    <x v="76"/>
    <x v="1"/>
    <n v="3.4"/>
  </r>
  <r>
    <s v="ORD00088"/>
    <x v="4"/>
    <x v="4"/>
    <n v="3432"/>
    <n v="5"/>
    <n v="17160"/>
    <x v="77"/>
    <x v="4"/>
    <n v="3.4"/>
  </r>
  <r>
    <s v="ORD00089"/>
    <x v="19"/>
    <x v="2"/>
    <n v="25752.65"/>
    <n v="3"/>
    <n v="77257.95"/>
    <x v="78"/>
    <x v="5"/>
    <n v="2.5"/>
  </r>
  <r>
    <s v="ORD00090"/>
    <x v="3"/>
    <x v="3"/>
    <n v="30238.47"/>
    <n v="2"/>
    <n v="60476.94"/>
    <x v="79"/>
    <x v="5"/>
    <n v="4"/>
  </r>
  <r>
    <s v="ORD00091"/>
    <x v="16"/>
    <x v="4"/>
    <n v="34293.379999999997"/>
    <n v="4"/>
    <n v="137173.51999999999"/>
    <x v="80"/>
    <x v="5"/>
    <n v="4.4000000000000004"/>
  </r>
  <r>
    <s v="ORD00092"/>
    <x v="10"/>
    <x v="2"/>
    <n v="19498.32"/>
    <n v="2"/>
    <n v="38996.639999999999"/>
    <x v="81"/>
    <x v="4"/>
    <n v="3.6"/>
  </r>
  <r>
    <s v="ORD00093"/>
    <x v="15"/>
    <x v="1"/>
    <n v="39355.589999999997"/>
    <n v="1"/>
    <n v="39355.589999999997"/>
    <x v="5"/>
    <x v="2"/>
    <n v="2.9"/>
  </r>
  <r>
    <s v="ORD00094"/>
    <x v="14"/>
    <x v="0"/>
    <n v="26575.86"/>
    <n v="2"/>
    <n v="53151.72"/>
    <x v="82"/>
    <x v="2"/>
    <n v="2"/>
  </r>
  <r>
    <s v="ORD00095"/>
    <x v="20"/>
    <x v="3"/>
    <n v="12506.31"/>
    <n v="3"/>
    <n v="37518.93"/>
    <x v="83"/>
    <x v="1"/>
    <n v="1.4"/>
  </r>
  <r>
    <s v="ORD00096"/>
    <x v="15"/>
    <x v="1"/>
    <n v="19180.77"/>
    <n v="3"/>
    <n v="57542.31"/>
    <x v="84"/>
    <x v="2"/>
    <n v="3.9"/>
  </r>
  <r>
    <s v="ORD00097"/>
    <x v="16"/>
    <x v="4"/>
    <n v="8877.51"/>
    <n v="5"/>
    <n v="44387.55"/>
    <x v="85"/>
    <x v="1"/>
    <n v="2.5"/>
  </r>
  <r>
    <s v="ORD00098"/>
    <x v="6"/>
    <x v="1"/>
    <n v="32348.92"/>
    <n v="2"/>
    <n v="64697.84"/>
    <x v="86"/>
    <x v="4"/>
    <n v="3.1"/>
  </r>
  <r>
    <s v="ORD00099"/>
    <x v="3"/>
    <x v="3"/>
    <n v="19375.759999999998"/>
    <n v="2"/>
    <n v="38751.519999999997"/>
    <x v="87"/>
    <x v="4"/>
    <n v="2.1"/>
  </r>
  <r>
    <s v="ORD00100"/>
    <x v="0"/>
    <x v="0"/>
    <n v="48157.93"/>
    <n v="1"/>
    <n v="48157.93"/>
    <x v="88"/>
    <x v="3"/>
    <n v="2.4"/>
  </r>
  <r>
    <s v="ORD00101"/>
    <x v="18"/>
    <x v="3"/>
    <n v="4360.05"/>
    <n v="4"/>
    <n v="17440.2"/>
    <x v="7"/>
    <x v="2"/>
    <n v="3.3"/>
  </r>
  <r>
    <s v="ORD00102"/>
    <x v="8"/>
    <x v="1"/>
    <n v="38093.14"/>
    <n v="1"/>
    <n v="38093.14"/>
    <x v="5"/>
    <x v="4"/>
    <n v="3"/>
  </r>
  <r>
    <s v="ORD00103"/>
    <x v="0"/>
    <x v="0"/>
    <n v="32788.199999999997"/>
    <n v="5"/>
    <n v="163941"/>
    <x v="89"/>
    <x v="4"/>
    <n v="4"/>
  </r>
  <r>
    <s v="ORD00104"/>
    <x v="13"/>
    <x v="0"/>
    <n v="42715.55"/>
    <n v="1"/>
    <n v="42715.55"/>
    <x v="90"/>
    <x v="4"/>
    <n v="4.4000000000000004"/>
  </r>
  <r>
    <s v="ORD00105"/>
    <x v="10"/>
    <x v="2"/>
    <n v="28758.42"/>
    <n v="5"/>
    <n v="143792.1"/>
    <x v="91"/>
    <x v="5"/>
    <n v="3.7"/>
  </r>
  <r>
    <s v="ORD00106"/>
    <x v="0"/>
    <x v="0"/>
    <n v="22555.21"/>
    <n v="2"/>
    <n v="45110.42"/>
    <x v="92"/>
    <x v="1"/>
    <n v="4.3"/>
  </r>
  <r>
    <s v="ORD00107"/>
    <x v="24"/>
    <x v="1"/>
    <n v="33613.18"/>
    <n v="1"/>
    <n v="33613.18"/>
    <x v="23"/>
    <x v="2"/>
    <n v="3.5"/>
  </r>
  <r>
    <s v="ORD00108"/>
    <x v="15"/>
    <x v="1"/>
    <n v="44639"/>
    <n v="5"/>
    <n v="223195"/>
    <x v="93"/>
    <x v="4"/>
    <n v="1.1000000000000001"/>
  </r>
  <r>
    <s v="ORD00109"/>
    <x v="1"/>
    <x v="1"/>
    <n v="11785.4"/>
    <n v="5"/>
    <n v="58927"/>
    <x v="94"/>
    <x v="2"/>
    <n v="1.6"/>
  </r>
  <r>
    <s v="ORD00110"/>
    <x v="22"/>
    <x v="0"/>
    <n v="30826.720000000001"/>
    <n v="1"/>
    <n v="30826.720000000001"/>
    <x v="95"/>
    <x v="1"/>
    <n v="3.9"/>
  </r>
  <r>
    <s v="ORD00111"/>
    <x v="8"/>
    <x v="1"/>
    <n v="35811.1"/>
    <n v="4"/>
    <n v="143244.4"/>
    <x v="96"/>
    <x v="5"/>
    <n v="1.9"/>
  </r>
  <r>
    <s v="ORD00112"/>
    <x v="19"/>
    <x v="2"/>
    <n v="45387.99"/>
    <n v="3"/>
    <n v="136163.97"/>
    <x v="97"/>
    <x v="3"/>
    <n v="4.8"/>
  </r>
  <r>
    <s v="ORD00113"/>
    <x v="23"/>
    <x v="4"/>
    <n v="39263.94"/>
    <n v="5"/>
    <n v="196319.7"/>
    <x v="26"/>
    <x v="2"/>
    <n v="3.8"/>
  </r>
  <r>
    <s v="ORD00114"/>
    <x v="0"/>
    <x v="0"/>
    <n v="19787.61"/>
    <n v="1"/>
    <n v="19787.61"/>
    <x v="98"/>
    <x v="0"/>
    <n v="3.9"/>
  </r>
  <r>
    <s v="ORD00115"/>
    <x v="8"/>
    <x v="1"/>
    <n v="26219.99"/>
    <n v="4"/>
    <n v="104879.96"/>
    <x v="8"/>
    <x v="0"/>
    <n v="2.1"/>
  </r>
  <r>
    <s v="ORD00116"/>
    <x v="11"/>
    <x v="2"/>
    <n v="14286.02"/>
    <n v="4"/>
    <n v="57144.08"/>
    <x v="99"/>
    <x v="1"/>
    <n v="3.7"/>
  </r>
  <r>
    <s v="ORD00117"/>
    <x v="15"/>
    <x v="1"/>
    <n v="13019.07"/>
    <n v="3"/>
    <n v="39057.21"/>
    <x v="86"/>
    <x v="4"/>
    <n v="2.8"/>
  </r>
  <r>
    <s v="ORD00118"/>
    <x v="2"/>
    <x v="2"/>
    <n v="43488.42"/>
    <n v="3"/>
    <n v="130465.26"/>
    <x v="100"/>
    <x v="5"/>
    <n v="3"/>
  </r>
  <r>
    <s v="ORD00119"/>
    <x v="14"/>
    <x v="0"/>
    <n v="30903.49"/>
    <n v="4"/>
    <n v="123613.96"/>
    <x v="45"/>
    <x v="5"/>
    <n v="1.7"/>
  </r>
  <r>
    <s v="ORD00120"/>
    <x v="7"/>
    <x v="4"/>
    <n v="37405.46"/>
    <n v="4"/>
    <n v="149621.84"/>
    <x v="101"/>
    <x v="2"/>
    <n v="1.3"/>
  </r>
  <r>
    <s v="ORD00121"/>
    <x v="9"/>
    <x v="3"/>
    <n v="30593.67"/>
    <n v="4"/>
    <n v="122374.68"/>
    <x v="2"/>
    <x v="3"/>
    <n v="1.5"/>
  </r>
  <r>
    <s v="ORD00122"/>
    <x v="20"/>
    <x v="3"/>
    <n v="28688.25"/>
    <n v="3"/>
    <n v="86064.75"/>
    <x v="102"/>
    <x v="1"/>
    <n v="2.4"/>
  </r>
  <r>
    <s v="ORD00123"/>
    <x v="17"/>
    <x v="2"/>
    <n v="12158.96"/>
    <n v="3"/>
    <n v="36476.879999999997"/>
    <x v="103"/>
    <x v="5"/>
    <n v="1.1000000000000001"/>
  </r>
  <r>
    <s v="ORD00124"/>
    <x v="20"/>
    <x v="3"/>
    <n v="24500.05"/>
    <n v="3"/>
    <n v="73500.149999999994"/>
    <x v="104"/>
    <x v="4"/>
    <n v="4.4000000000000004"/>
  </r>
  <r>
    <s v="ORD00125"/>
    <x v="7"/>
    <x v="4"/>
    <n v="44412.88"/>
    <n v="3"/>
    <n v="133238.64000000001"/>
    <x v="105"/>
    <x v="3"/>
    <n v="1.4"/>
  </r>
  <r>
    <s v="ORD00126"/>
    <x v="12"/>
    <x v="3"/>
    <n v="26615.97"/>
    <n v="3"/>
    <n v="79847.91"/>
    <x v="106"/>
    <x v="5"/>
    <n v="3.6"/>
  </r>
  <r>
    <s v="ORD00127"/>
    <x v="8"/>
    <x v="1"/>
    <n v="3979.4"/>
    <n v="1"/>
    <n v="3979.4"/>
    <x v="107"/>
    <x v="0"/>
    <n v="4.5999999999999996"/>
  </r>
  <r>
    <s v="ORD00128"/>
    <x v="10"/>
    <x v="2"/>
    <n v="49687.49"/>
    <n v="2"/>
    <n v="99374.98"/>
    <x v="108"/>
    <x v="1"/>
    <n v="2.5"/>
  </r>
  <r>
    <s v="ORD00129"/>
    <x v="18"/>
    <x v="3"/>
    <n v="11289.42"/>
    <n v="3"/>
    <n v="33868.26"/>
    <x v="109"/>
    <x v="1"/>
    <n v="2.2999999999999998"/>
  </r>
  <r>
    <s v="ORD00130"/>
    <x v="24"/>
    <x v="1"/>
    <n v="27309.73"/>
    <n v="3"/>
    <n v="81929.19"/>
    <x v="110"/>
    <x v="5"/>
    <n v="4"/>
  </r>
  <r>
    <s v="ORD00131"/>
    <x v="18"/>
    <x v="3"/>
    <n v="30374.400000000001"/>
    <n v="5"/>
    <n v="151872"/>
    <x v="111"/>
    <x v="5"/>
    <n v="1.8"/>
  </r>
  <r>
    <s v="ORD00132"/>
    <x v="19"/>
    <x v="2"/>
    <n v="15486.41"/>
    <n v="4"/>
    <n v="61945.64"/>
    <x v="112"/>
    <x v="3"/>
    <n v="5"/>
  </r>
  <r>
    <s v="ORD00133"/>
    <x v="3"/>
    <x v="3"/>
    <n v="33698.339999999997"/>
    <n v="1"/>
    <n v="33698.339999999997"/>
    <x v="109"/>
    <x v="0"/>
    <n v="4.2"/>
  </r>
  <r>
    <s v="ORD00134"/>
    <x v="24"/>
    <x v="1"/>
    <n v="42987.64"/>
    <n v="5"/>
    <n v="214938.2"/>
    <x v="13"/>
    <x v="2"/>
    <n v="3.7"/>
  </r>
  <r>
    <s v="ORD00135"/>
    <x v="3"/>
    <x v="3"/>
    <n v="1104.25"/>
    <n v="5"/>
    <n v="5521.25"/>
    <x v="43"/>
    <x v="1"/>
    <n v="3.8"/>
  </r>
  <r>
    <s v="ORD00136"/>
    <x v="8"/>
    <x v="1"/>
    <n v="14043.16"/>
    <n v="4"/>
    <n v="56172.639999999999"/>
    <x v="113"/>
    <x v="2"/>
    <n v="3.1"/>
  </r>
  <r>
    <s v="ORD00137"/>
    <x v="14"/>
    <x v="0"/>
    <n v="24032.880000000001"/>
    <n v="1"/>
    <n v="24032.880000000001"/>
    <x v="114"/>
    <x v="2"/>
    <n v="3.8"/>
  </r>
  <r>
    <s v="ORD00138"/>
    <x v="2"/>
    <x v="2"/>
    <n v="32283.58"/>
    <n v="3"/>
    <n v="96850.74"/>
    <x v="57"/>
    <x v="3"/>
    <n v="4.4000000000000004"/>
  </r>
  <r>
    <s v="ORD00139"/>
    <x v="11"/>
    <x v="2"/>
    <n v="3848.54"/>
    <n v="1"/>
    <n v="3848.54"/>
    <x v="115"/>
    <x v="5"/>
    <n v="4.5999999999999996"/>
  </r>
  <r>
    <s v="ORD00140"/>
    <x v="4"/>
    <x v="4"/>
    <n v="48175.48"/>
    <n v="1"/>
    <n v="48175.48"/>
    <x v="56"/>
    <x v="3"/>
    <n v="1.5"/>
  </r>
  <r>
    <s v="ORD00141"/>
    <x v="9"/>
    <x v="3"/>
    <n v="2273.0100000000002"/>
    <n v="2"/>
    <n v="4546.0200000000004"/>
    <x v="116"/>
    <x v="1"/>
    <n v="4.3"/>
  </r>
  <r>
    <s v="ORD00142"/>
    <x v="8"/>
    <x v="1"/>
    <n v="48346.41"/>
    <n v="3"/>
    <n v="145039.23000000001"/>
    <x v="117"/>
    <x v="0"/>
    <n v="1.4"/>
  </r>
  <r>
    <s v="ORD00143"/>
    <x v="7"/>
    <x v="4"/>
    <n v="8383.86"/>
    <n v="2"/>
    <n v="16767.72"/>
    <x v="118"/>
    <x v="2"/>
    <n v="3.1"/>
  </r>
  <r>
    <s v="ORD00144"/>
    <x v="19"/>
    <x v="2"/>
    <n v="15344.02"/>
    <n v="1"/>
    <n v="15344.02"/>
    <x v="52"/>
    <x v="1"/>
    <n v="4"/>
  </r>
  <r>
    <s v="ORD00145"/>
    <x v="12"/>
    <x v="3"/>
    <n v="49142.57"/>
    <n v="4"/>
    <n v="196570.28"/>
    <x v="119"/>
    <x v="1"/>
    <n v="4.9000000000000004"/>
  </r>
  <r>
    <s v="ORD00146"/>
    <x v="22"/>
    <x v="0"/>
    <n v="45182.27"/>
    <n v="5"/>
    <n v="225911.35"/>
    <x v="13"/>
    <x v="0"/>
    <n v="3.1"/>
  </r>
  <r>
    <s v="ORD00147"/>
    <x v="8"/>
    <x v="1"/>
    <n v="18309.060000000001"/>
    <n v="2"/>
    <n v="36618.120000000003"/>
    <x v="120"/>
    <x v="5"/>
    <n v="1.9"/>
  </r>
  <r>
    <s v="ORD00148"/>
    <x v="3"/>
    <x v="3"/>
    <n v="33021.1"/>
    <n v="4"/>
    <n v="132084.4"/>
    <x v="121"/>
    <x v="0"/>
    <n v="4.4000000000000004"/>
  </r>
  <r>
    <s v="ORD00149"/>
    <x v="8"/>
    <x v="1"/>
    <n v="42814.17"/>
    <n v="5"/>
    <n v="214070.85"/>
    <x v="122"/>
    <x v="0"/>
    <n v="4.2"/>
  </r>
  <r>
    <s v="ORD00150"/>
    <x v="10"/>
    <x v="2"/>
    <n v="5293.87"/>
    <n v="2"/>
    <n v="10587.74"/>
    <x v="123"/>
    <x v="0"/>
    <n v="2.7"/>
  </r>
  <r>
    <s v="ORD00151"/>
    <x v="21"/>
    <x v="0"/>
    <n v="16596.580000000002"/>
    <n v="5"/>
    <n v="82982.899999999994"/>
    <x v="86"/>
    <x v="1"/>
    <n v="2.1"/>
  </r>
  <r>
    <s v="ORD00152"/>
    <x v="6"/>
    <x v="1"/>
    <n v="48940.95"/>
    <n v="1"/>
    <n v="48940.95"/>
    <x v="124"/>
    <x v="5"/>
    <n v="1"/>
  </r>
  <r>
    <s v="ORD00153"/>
    <x v="1"/>
    <x v="1"/>
    <n v="10059.450000000001"/>
    <n v="5"/>
    <n v="50297.25"/>
    <x v="125"/>
    <x v="3"/>
    <n v="4.3"/>
  </r>
  <r>
    <s v="ORD00154"/>
    <x v="10"/>
    <x v="2"/>
    <n v="4820.8"/>
    <n v="1"/>
    <n v="4820.8"/>
    <x v="72"/>
    <x v="2"/>
    <n v="4.3"/>
  </r>
  <r>
    <s v="ORD00155"/>
    <x v="14"/>
    <x v="0"/>
    <n v="12087.35"/>
    <n v="4"/>
    <n v="48349.4"/>
    <x v="126"/>
    <x v="1"/>
    <n v="2.6"/>
  </r>
  <r>
    <s v="ORD00156"/>
    <x v="2"/>
    <x v="2"/>
    <n v="43522.080000000002"/>
    <n v="5"/>
    <n v="217610.4"/>
    <x v="96"/>
    <x v="3"/>
    <n v="4.8"/>
  </r>
  <r>
    <s v="ORD00157"/>
    <x v="3"/>
    <x v="3"/>
    <n v="42409.26"/>
    <n v="1"/>
    <n v="42409.26"/>
    <x v="67"/>
    <x v="0"/>
    <n v="2"/>
  </r>
  <r>
    <s v="ORD00158"/>
    <x v="21"/>
    <x v="0"/>
    <n v="29882.47"/>
    <n v="5"/>
    <n v="149412.35"/>
    <x v="42"/>
    <x v="2"/>
    <n v="4.7"/>
  </r>
  <r>
    <s v="ORD00159"/>
    <x v="3"/>
    <x v="3"/>
    <n v="40233.279999999999"/>
    <n v="5"/>
    <n v="201166.4"/>
    <x v="127"/>
    <x v="2"/>
    <n v="1.9"/>
  </r>
  <r>
    <s v="ORD00160"/>
    <x v="23"/>
    <x v="4"/>
    <n v="15357.36"/>
    <n v="4"/>
    <n v="61429.440000000002"/>
    <x v="128"/>
    <x v="0"/>
    <n v="1.6"/>
  </r>
  <r>
    <s v="ORD00161"/>
    <x v="22"/>
    <x v="0"/>
    <n v="10565.57"/>
    <n v="4"/>
    <n v="42262.28"/>
    <x v="6"/>
    <x v="5"/>
    <n v="1.5"/>
  </r>
  <r>
    <s v="ORD00162"/>
    <x v="21"/>
    <x v="0"/>
    <n v="42533.26"/>
    <n v="4"/>
    <n v="170133.04"/>
    <x v="43"/>
    <x v="0"/>
    <n v="4.5999999999999996"/>
  </r>
  <r>
    <s v="ORD00163"/>
    <x v="5"/>
    <x v="4"/>
    <n v="18426.900000000001"/>
    <n v="4"/>
    <n v="73707.600000000006"/>
    <x v="129"/>
    <x v="0"/>
    <n v="4.7"/>
  </r>
  <r>
    <s v="ORD00164"/>
    <x v="10"/>
    <x v="2"/>
    <n v="23369.23"/>
    <n v="1"/>
    <n v="23369.23"/>
    <x v="81"/>
    <x v="4"/>
    <n v="1.5"/>
  </r>
  <r>
    <s v="ORD00165"/>
    <x v="10"/>
    <x v="2"/>
    <n v="2735.32"/>
    <n v="5"/>
    <n v="13676.6"/>
    <x v="130"/>
    <x v="2"/>
    <n v="2.6"/>
  </r>
  <r>
    <s v="ORD00166"/>
    <x v="18"/>
    <x v="3"/>
    <n v="48944.01"/>
    <n v="3"/>
    <n v="146832.03"/>
    <x v="6"/>
    <x v="3"/>
    <n v="4.2"/>
  </r>
  <r>
    <s v="ORD00167"/>
    <x v="17"/>
    <x v="2"/>
    <n v="32590.46"/>
    <n v="2"/>
    <n v="65180.92"/>
    <x v="131"/>
    <x v="5"/>
    <n v="2.4"/>
  </r>
  <r>
    <s v="ORD00168"/>
    <x v="17"/>
    <x v="2"/>
    <n v="35286.97"/>
    <n v="2"/>
    <n v="70573.94"/>
    <x v="39"/>
    <x v="5"/>
    <n v="3.3"/>
  </r>
  <r>
    <s v="ORD00169"/>
    <x v="21"/>
    <x v="0"/>
    <n v="42881.03"/>
    <n v="3"/>
    <n v="128643.09"/>
    <x v="132"/>
    <x v="5"/>
    <n v="4.4000000000000004"/>
  </r>
  <r>
    <s v="ORD00170"/>
    <x v="19"/>
    <x v="2"/>
    <n v="28246.25"/>
    <n v="2"/>
    <n v="56492.5"/>
    <x v="133"/>
    <x v="5"/>
    <n v="2.2999999999999998"/>
  </r>
  <r>
    <s v="ORD00171"/>
    <x v="19"/>
    <x v="2"/>
    <n v="24619.84"/>
    <n v="2"/>
    <n v="49239.68"/>
    <x v="87"/>
    <x v="0"/>
    <n v="4.0999999999999996"/>
  </r>
  <r>
    <s v="ORD00172"/>
    <x v="24"/>
    <x v="1"/>
    <n v="12083.96"/>
    <n v="3"/>
    <n v="36251.879999999997"/>
    <x v="81"/>
    <x v="2"/>
    <n v="3"/>
  </r>
  <r>
    <s v="ORD00173"/>
    <x v="22"/>
    <x v="0"/>
    <n v="12214.72"/>
    <n v="5"/>
    <n v="61073.599999999999"/>
    <x v="134"/>
    <x v="1"/>
    <n v="2.1"/>
  </r>
  <r>
    <s v="ORD00174"/>
    <x v="21"/>
    <x v="0"/>
    <n v="19386.27"/>
    <n v="1"/>
    <n v="19386.27"/>
    <x v="70"/>
    <x v="3"/>
    <n v="4.0999999999999996"/>
  </r>
  <r>
    <s v="ORD00175"/>
    <x v="0"/>
    <x v="0"/>
    <n v="34879.4"/>
    <n v="3"/>
    <n v="104638.2"/>
    <x v="77"/>
    <x v="1"/>
    <n v="2.5"/>
  </r>
  <r>
    <s v="ORD00176"/>
    <x v="18"/>
    <x v="3"/>
    <n v="32016.11"/>
    <n v="5"/>
    <n v="160080.54999999999"/>
    <x v="122"/>
    <x v="0"/>
    <n v="4.3"/>
  </r>
  <r>
    <s v="ORD00177"/>
    <x v="15"/>
    <x v="1"/>
    <n v="32264.17"/>
    <n v="1"/>
    <n v="32264.17"/>
    <x v="135"/>
    <x v="5"/>
    <n v="4.0999999999999996"/>
  </r>
  <r>
    <s v="ORD00178"/>
    <x v="19"/>
    <x v="2"/>
    <n v="30171.74"/>
    <n v="4"/>
    <n v="120686.96"/>
    <x v="136"/>
    <x v="5"/>
    <n v="3.8"/>
  </r>
  <r>
    <s v="ORD00179"/>
    <x v="24"/>
    <x v="1"/>
    <n v="22712.18"/>
    <n v="5"/>
    <n v="113560.9"/>
    <x v="137"/>
    <x v="3"/>
    <n v="3.9"/>
  </r>
  <r>
    <s v="ORD00180"/>
    <x v="13"/>
    <x v="0"/>
    <n v="27204.69"/>
    <n v="1"/>
    <n v="27204.69"/>
    <x v="71"/>
    <x v="0"/>
    <n v="2.8"/>
  </r>
  <r>
    <s v="ORD00181"/>
    <x v="0"/>
    <x v="0"/>
    <n v="17353.47"/>
    <n v="1"/>
    <n v="17353.47"/>
    <x v="138"/>
    <x v="4"/>
    <n v="2.6"/>
  </r>
  <r>
    <s v="ORD00182"/>
    <x v="23"/>
    <x v="4"/>
    <n v="44882.2"/>
    <n v="1"/>
    <n v="44882.2"/>
    <x v="120"/>
    <x v="3"/>
    <n v="1.3"/>
  </r>
  <r>
    <s v="ORD00183"/>
    <x v="23"/>
    <x v="4"/>
    <n v="47002.720000000001"/>
    <n v="3"/>
    <n v="141008.16"/>
    <x v="139"/>
    <x v="0"/>
    <n v="4.0999999999999996"/>
  </r>
  <r>
    <s v="ORD00184"/>
    <x v="11"/>
    <x v="2"/>
    <n v="33659.67"/>
    <n v="4"/>
    <n v="134638.68"/>
    <x v="64"/>
    <x v="2"/>
    <n v="3.3"/>
  </r>
  <r>
    <s v="ORD00185"/>
    <x v="23"/>
    <x v="4"/>
    <n v="13011.44"/>
    <n v="2"/>
    <n v="26022.880000000001"/>
    <x v="94"/>
    <x v="2"/>
    <n v="4.9000000000000004"/>
  </r>
  <r>
    <s v="ORD00186"/>
    <x v="12"/>
    <x v="3"/>
    <n v="21990.25"/>
    <n v="3"/>
    <n v="65970.75"/>
    <x v="83"/>
    <x v="2"/>
    <n v="4.2"/>
  </r>
  <r>
    <s v="ORD00187"/>
    <x v="10"/>
    <x v="2"/>
    <n v="1927.38"/>
    <n v="3"/>
    <n v="5782.14"/>
    <x v="140"/>
    <x v="0"/>
    <n v="2.9"/>
  </r>
  <r>
    <s v="ORD00188"/>
    <x v="18"/>
    <x v="3"/>
    <n v="21741.53"/>
    <n v="3"/>
    <n v="65224.59"/>
    <x v="141"/>
    <x v="3"/>
    <n v="3.5"/>
  </r>
  <r>
    <s v="ORD00189"/>
    <x v="6"/>
    <x v="1"/>
    <n v="23638.720000000001"/>
    <n v="1"/>
    <n v="23638.720000000001"/>
    <x v="79"/>
    <x v="4"/>
    <n v="1.5"/>
  </r>
  <r>
    <s v="ORD00190"/>
    <x v="17"/>
    <x v="2"/>
    <n v="39372.11"/>
    <n v="1"/>
    <n v="39372.11"/>
    <x v="10"/>
    <x v="2"/>
    <n v="4.0999999999999996"/>
  </r>
  <r>
    <s v="ORD00191"/>
    <x v="21"/>
    <x v="0"/>
    <n v="49088.13"/>
    <n v="4"/>
    <n v="196352.52"/>
    <x v="142"/>
    <x v="2"/>
    <n v="2.2999999999999998"/>
  </r>
  <r>
    <s v="ORD00192"/>
    <x v="4"/>
    <x v="4"/>
    <n v="4524.63"/>
    <n v="3"/>
    <n v="13573.89"/>
    <x v="143"/>
    <x v="1"/>
    <n v="2.4"/>
  </r>
  <r>
    <s v="ORD00193"/>
    <x v="6"/>
    <x v="1"/>
    <n v="1507.01"/>
    <n v="3"/>
    <n v="4521.03"/>
    <x v="144"/>
    <x v="5"/>
    <n v="2.5"/>
  </r>
  <r>
    <s v="ORD00194"/>
    <x v="9"/>
    <x v="3"/>
    <n v="39699.85"/>
    <n v="3"/>
    <n v="119099.55"/>
    <x v="145"/>
    <x v="2"/>
    <n v="3.9"/>
  </r>
  <r>
    <s v="ORD00195"/>
    <x v="2"/>
    <x v="2"/>
    <n v="37494.129999999997"/>
    <n v="5"/>
    <n v="187470.65"/>
    <x v="29"/>
    <x v="3"/>
    <n v="1.8"/>
  </r>
  <r>
    <s v="ORD00196"/>
    <x v="12"/>
    <x v="3"/>
    <n v="5850.81"/>
    <n v="5"/>
    <n v="29254.05"/>
    <x v="43"/>
    <x v="3"/>
    <n v="1.3"/>
  </r>
  <r>
    <s v="ORD00197"/>
    <x v="22"/>
    <x v="0"/>
    <n v="16448.740000000002"/>
    <n v="4"/>
    <n v="65794.960000000006"/>
    <x v="146"/>
    <x v="5"/>
    <n v="4.5999999999999996"/>
  </r>
  <r>
    <s v="ORD00198"/>
    <x v="3"/>
    <x v="3"/>
    <n v="11103.44"/>
    <n v="1"/>
    <n v="11103.44"/>
    <x v="147"/>
    <x v="2"/>
    <n v="1.1000000000000001"/>
  </r>
  <r>
    <s v="ORD00199"/>
    <x v="22"/>
    <x v="0"/>
    <n v="34255.39"/>
    <n v="2"/>
    <n v="68510.78"/>
    <x v="148"/>
    <x v="1"/>
    <n v="2.9"/>
  </r>
  <r>
    <s v="ORD00200"/>
    <x v="3"/>
    <x v="3"/>
    <n v="18304.18"/>
    <n v="2"/>
    <n v="36608.36"/>
    <x v="149"/>
    <x v="0"/>
    <n v="1.6"/>
  </r>
  <r>
    <s v="ORD00201"/>
    <x v="7"/>
    <x v="4"/>
    <n v="12771.91"/>
    <n v="2"/>
    <n v="25543.82"/>
    <x v="150"/>
    <x v="2"/>
    <n v="3.2"/>
  </r>
  <r>
    <s v="ORD00202"/>
    <x v="13"/>
    <x v="0"/>
    <n v="2275.09"/>
    <n v="2"/>
    <n v="4550.18"/>
    <x v="33"/>
    <x v="0"/>
    <n v="1.5"/>
  </r>
  <r>
    <s v="ORD00203"/>
    <x v="6"/>
    <x v="1"/>
    <n v="16468.59"/>
    <n v="4"/>
    <n v="65874.36"/>
    <x v="151"/>
    <x v="5"/>
    <n v="4.5"/>
  </r>
  <r>
    <s v="ORD00204"/>
    <x v="4"/>
    <x v="4"/>
    <n v="4934.99"/>
    <n v="3"/>
    <n v="14804.97"/>
    <x v="152"/>
    <x v="4"/>
    <n v="4.5999999999999996"/>
  </r>
  <r>
    <s v="ORD00205"/>
    <x v="7"/>
    <x v="4"/>
    <n v="5258.29"/>
    <n v="5"/>
    <n v="26291.45"/>
    <x v="153"/>
    <x v="2"/>
    <n v="2.5"/>
  </r>
  <r>
    <s v="ORD00206"/>
    <x v="17"/>
    <x v="2"/>
    <n v="32580"/>
    <n v="5"/>
    <n v="162900"/>
    <x v="154"/>
    <x v="3"/>
    <n v="2.7"/>
  </r>
  <r>
    <s v="ORD00207"/>
    <x v="23"/>
    <x v="4"/>
    <n v="40298.9"/>
    <n v="1"/>
    <n v="40298.9"/>
    <x v="110"/>
    <x v="0"/>
    <n v="1.2"/>
  </r>
  <r>
    <s v="ORD00208"/>
    <x v="9"/>
    <x v="3"/>
    <n v="11236.19"/>
    <n v="3"/>
    <n v="33708.57"/>
    <x v="155"/>
    <x v="3"/>
    <n v="2.6"/>
  </r>
  <r>
    <s v="ORD00209"/>
    <x v="22"/>
    <x v="0"/>
    <n v="32537.46"/>
    <n v="5"/>
    <n v="162687.29999999999"/>
    <x v="114"/>
    <x v="1"/>
    <n v="3.4"/>
  </r>
  <r>
    <s v="ORD00210"/>
    <x v="1"/>
    <x v="1"/>
    <n v="6953.88"/>
    <n v="1"/>
    <n v="6953.88"/>
    <x v="145"/>
    <x v="1"/>
    <n v="2.9"/>
  </r>
  <r>
    <s v="ORD00211"/>
    <x v="16"/>
    <x v="4"/>
    <n v="32824.050000000003"/>
    <n v="3"/>
    <n v="98472.15"/>
    <x v="156"/>
    <x v="4"/>
    <n v="3.6"/>
  </r>
  <r>
    <s v="ORD00212"/>
    <x v="6"/>
    <x v="1"/>
    <n v="34459.99"/>
    <n v="3"/>
    <n v="103379.97"/>
    <x v="157"/>
    <x v="0"/>
    <n v="1.4"/>
  </r>
  <r>
    <s v="ORD00213"/>
    <x v="0"/>
    <x v="0"/>
    <n v="13608.58"/>
    <n v="3"/>
    <n v="40825.74"/>
    <x v="158"/>
    <x v="1"/>
    <n v="4.5999999999999996"/>
  </r>
  <r>
    <s v="ORD00214"/>
    <x v="5"/>
    <x v="4"/>
    <n v="32630.83"/>
    <n v="2"/>
    <n v="65261.66"/>
    <x v="58"/>
    <x v="1"/>
    <n v="4.7"/>
  </r>
  <r>
    <s v="ORD00215"/>
    <x v="18"/>
    <x v="3"/>
    <n v="24818.77"/>
    <n v="4"/>
    <n v="99275.08"/>
    <x v="159"/>
    <x v="0"/>
    <n v="2.2999999999999998"/>
  </r>
  <r>
    <s v="ORD00216"/>
    <x v="14"/>
    <x v="0"/>
    <n v="36645.35"/>
    <n v="3"/>
    <n v="109936.05"/>
    <x v="160"/>
    <x v="0"/>
    <n v="2.5"/>
  </r>
  <r>
    <s v="ORD00217"/>
    <x v="1"/>
    <x v="1"/>
    <n v="25668.959999999999"/>
    <n v="3"/>
    <n v="77006.880000000005"/>
    <x v="161"/>
    <x v="0"/>
    <n v="4.8"/>
  </r>
  <r>
    <s v="ORD00218"/>
    <x v="24"/>
    <x v="1"/>
    <n v="44241.68"/>
    <n v="4"/>
    <n v="176966.72"/>
    <x v="162"/>
    <x v="3"/>
    <n v="1.4"/>
  </r>
  <r>
    <s v="ORD00219"/>
    <x v="20"/>
    <x v="3"/>
    <n v="39749.19"/>
    <n v="1"/>
    <n v="39749.19"/>
    <x v="163"/>
    <x v="3"/>
    <n v="3.5"/>
  </r>
  <r>
    <s v="ORD00220"/>
    <x v="9"/>
    <x v="3"/>
    <n v="37578.46"/>
    <n v="2"/>
    <n v="75156.92"/>
    <x v="161"/>
    <x v="5"/>
    <n v="4.4000000000000004"/>
  </r>
  <r>
    <s v="ORD00221"/>
    <x v="12"/>
    <x v="3"/>
    <n v="37203.65"/>
    <n v="4"/>
    <n v="148814.6"/>
    <x v="145"/>
    <x v="2"/>
    <n v="3.5"/>
  </r>
  <r>
    <s v="ORD00222"/>
    <x v="22"/>
    <x v="0"/>
    <n v="22851.63"/>
    <n v="1"/>
    <n v="22851.63"/>
    <x v="145"/>
    <x v="2"/>
    <n v="1"/>
  </r>
  <r>
    <s v="ORD00223"/>
    <x v="17"/>
    <x v="2"/>
    <n v="27627.84"/>
    <n v="4"/>
    <n v="110511.36"/>
    <x v="13"/>
    <x v="1"/>
    <n v="1.8"/>
  </r>
  <r>
    <s v="ORD00224"/>
    <x v="22"/>
    <x v="0"/>
    <n v="31333.95"/>
    <n v="3"/>
    <n v="94001.85"/>
    <x v="121"/>
    <x v="0"/>
    <n v="1.7"/>
  </r>
  <r>
    <s v="ORD00225"/>
    <x v="16"/>
    <x v="4"/>
    <n v="30911.439999999999"/>
    <n v="5"/>
    <n v="154557.20000000001"/>
    <x v="164"/>
    <x v="0"/>
    <n v="3"/>
  </r>
  <r>
    <s v="ORD00226"/>
    <x v="18"/>
    <x v="3"/>
    <n v="11518.23"/>
    <n v="1"/>
    <n v="11518.23"/>
    <x v="165"/>
    <x v="0"/>
    <n v="4.4000000000000004"/>
  </r>
  <r>
    <s v="ORD00227"/>
    <x v="1"/>
    <x v="1"/>
    <n v="43304.55"/>
    <n v="5"/>
    <n v="216522.75"/>
    <x v="166"/>
    <x v="1"/>
    <n v="2.6"/>
  </r>
  <r>
    <s v="ORD00228"/>
    <x v="22"/>
    <x v="0"/>
    <n v="3710.07"/>
    <n v="3"/>
    <n v="11130.21"/>
    <x v="124"/>
    <x v="4"/>
    <n v="4.2"/>
  </r>
  <r>
    <s v="ORD00229"/>
    <x v="10"/>
    <x v="2"/>
    <n v="34621.21"/>
    <n v="2"/>
    <n v="69242.42"/>
    <x v="16"/>
    <x v="2"/>
    <n v="1.8"/>
  </r>
  <r>
    <s v="ORD00230"/>
    <x v="20"/>
    <x v="3"/>
    <n v="41742.29"/>
    <n v="5"/>
    <n v="208711.45"/>
    <x v="30"/>
    <x v="3"/>
    <n v="2.6"/>
  </r>
  <r>
    <s v="ORD00231"/>
    <x v="16"/>
    <x v="4"/>
    <n v="46858.63"/>
    <n v="1"/>
    <n v="46858.63"/>
    <x v="155"/>
    <x v="0"/>
    <n v="3.5"/>
  </r>
  <r>
    <s v="ORD00232"/>
    <x v="3"/>
    <x v="3"/>
    <n v="5413.09"/>
    <n v="1"/>
    <n v="5413.09"/>
    <x v="167"/>
    <x v="1"/>
    <n v="3.4"/>
  </r>
  <r>
    <s v="ORD00233"/>
    <x v="18"/>
    <x v="3"/>
    <n v="5880.45"/>
    <n v="1"/>
    <n v="5880.45"/>
    <x v="168"/>
    <x v="5"/>
    <n v="2"/>
  </r>
  <r>
    <s v="ORD00234"/>
    <x v="13"/>
    <x v="0"/>
    <n v="35665.26"/>
    <n v="3"/>
    <n v="106995.78"/>
    <x v="13"/>
    <x v="2"/>
    <n v="1.2"/>
  </r>
  <r>
    <s v="ORD00235"/>
    <x v="20"/>
    <x v="3"/>
    <n v="42981.89"/>
    <n v="5"/>
    <n v="214909.45"/>
    <x v="57"/>
    <x v="4"/>
    <n v="1.8"/>
  </r>
  <r>
    <s v="ORD00236"/>
    <x v="13"/>
    <x v="0"/>
    <n v="25629.88"/>
    <n v="3"/>
    <n v="76889.64"/>
    <x v="51"/>
    <x v="0"/>
    <n v="2.9"/>
  </r>
  <r>
    <s v="ORD00237"/>
    <x v="10"/>
    <x v="2"/>
    <n v="22475.94"/>
    <n v="4"/>
    <n v="89903.76"/>
    <x v="66"/>
    <x v="0"/>
    <n v="3.5"/>
  </r>
  <r>
    <s v="ORD00238"/>
    <x v="23"/>
    <x v="4"/>
    <n v="33250.699999999997"/>
    <n v="5"/>
    <n v="166253.5"/>
    <x v="169"/>
    <x v="2"/>
    <n v="4.3"/>
  </r>
  <r>
    <s v="ORD00239"/>
    <x v="14"/>
    <x v="0"/>
    <n v="45045.03"/>
    <n v="5"/>
    <n v="225225.15"/>
    <x v="57"/>
    <x v="5"/>
    <n v="3.8"/>
  </r>
  <r>
    <s v="ORD00240"/>
    <x v="16"/>
    <x v="4"/>
    <n v="3955.86"/>
    <n v="5"/>
    <n v="19779.3"/>
    <x v="170"/>
    <x v="5"/>
    <n v="4.7"/>
  </r>
  <r>
    <s v="ORD00241"/>
    <x v="10"/>
    <x v="2"/>
    <n v="28169.11"/>
    <n v="5"/>
    <n v="140845.54999999999"/>
    <x v="93"/>
    <x v="1"/>
    <n v="2.7"/>
  </r>
  <r>
    <s v="ORD00242"/>
    <x v="2"/>
    <x v="2"/>
    <n v="42785.51"/>
    <n v="4"/>
    <n v="171142.04"/>
    <x v="171"/>
    <x v="3"/>
    <n v="1.7"/>
  </r>
  <r>
    <s v="ORD00243"/>
    <x v="12"/>
    <x v="3"/>
    <n v="25614.35"/>
    <n v="2"/>
    <n v="51228.7"/>
    <x v="172"/>
    <x v="2"/>
    <n v="3.5"/>
  </r>
  <r>
    <s v="ORD00244"/>
    <x v="5"/>
    <x v="4"/>
    <n v="7771.58"/>
    <n v="5"/>
    <n v="38857.9"/>
    <x v="173"/>
    <x v="0"/>
    <n v="3.6"/>
  </r>
  <r>
    <s v="ORD00245"/>
    <x v="14"/>
    <x v="0"/>
    <n v="31059.47"/>
    <n v="3"/>
    <n v="93178.41"/>
    <x v="174"/>
    <x v="2"/>
    <n v="4.8"/>
  </r>
  <r>
    <s v="ORD00246"/>
    <x v="0"/>
    <x v="0"/>
    <n v="14506.11"/>
    <n v="5"/>
    <n v="72530.55"/>
    <x v="175"/>
    <x v="0"/>
    <n v="3.5"/>
  </r>
  <r>
    <s v="ORD00247"/>
    <x v="3"/>
    <x v="3"/>
    <n v="16272.38"/>
    <n v="3"/>
    <n v="48817.14"/>
    <x v="176"/>
    <x v="0"/>
    <n v="1.4"/>
  </r>
  <r>
    <s v="ORD00248"/>
    <x v="15"/>
    <x v="1"/>
    <n v="29222.92"/>
    <n v="3"/>
    <n v="87668.76"/>
    <x v="152"/>
    <x v="0"/>
    <n v="2.7"/>
  </r>
  <r>
    <s v="ORD00249"/>
    <x v="0"/>
    <x v="0"/>
    <n v="1483.5"/>
    <n v="5"/>
    <n v="7417.5"/>
    <x v="177"/>
    <x v="0"/>
    <n v="4.3"/>
  </r>
  <r>
    <s v="ORD00250"/>
    <x v="22"/>
    <x v="0"/>
    <n v="35629.550000000003"/>
    <n v="2"/>
    <n v="71259.100000000006"/>
    <x v="178"/>
    <x v="2"/>
    <n v="2"/>
  </r>
  <r>
    <s v="ORD00251"/>
    <x v="8"/>
    <x v="1"/>
    <n v="1987.98"/>
    <n v="4"/>
    <n v="7951.92"/>
    <x v="11"/>
    <x v="1"/>
    <n v="3.3"/>
  </r>
  <r>
    <s v="ORD00252"/>
    <x v="0"/>
    <x v="0"/>
    <n v="37590.44"/>
    <n v="4"/>
    <n v="150361.76"/>
    <x v="179"/>
    <x v="2"/>
    <n v="1.8"/>
  </r>
  <r>
    <s v="ORD00253"/>
    <x v="5"/>
    <x v="4"/>
    <n v="31759.49"/>
    <n v="4"/>
    <n v="127037.96"/>
    <x v="180"/>
    <x v="1"/>
    <n v="2"/>
  </r>
  <r>
    <s v="ORD00254"/>
    <x v="19"/>
    <x v="2"/>
    <n v="18787.05"/>
    <n v="4"/>
    <n v="75148.2"/>
    <x v="117"/>
    <x v="4"/>
    <n v="1.1000000000000001"/>
  </r>
  <r>
    <s v="ORD00255"/>
    <x v="0"/>
    <x v="0"/>
    <n v="17066.16"/>
    <n v="1"/>
    <n v="17066.16"/>
    <x v="181"/>
    <x v="2"/>
    <n v="2.8"/>
  </r>
  <r>
    <s v="ORD00256"/>
    <x v="8"/>
    <x v="1"/>
    <n v="15068.72"/>
    <n v="4"/>
    <n v="60274.879999999997"/>
    <x v="125"/>
    <x v="0"/>
    <n v="1.4"/>
  </r>
  <r>
    <s v="ORD00257"/>
    <x v="12"/>
    <x v="3"/>
    <n v="44334.11"/>
    <n v="3"/>
    <n v="133002.32999999999"/>
    <x v="182"/>
    <x v="2"/>
    <n v="2.6"/>
  </r>
  <r>
    <s v="ORD00258"/>
    <x v="12"/>
    <x v="3"/>
    <n v="11183.75"/>
    <n v="1"/>
    <n v="11183.75"/>
    <x v="183"/>
    <x v="4"/>
    <n v="4.9000000000000004"/>
  </r>
  <r>
    <s v="ORD00259"/>
    <x v="4"/>
    <x v="4"/>
    <n v="2923.95"/>
    <n v="5"/>
    <n v="14619.75"/>
    <x v="184"/>
    <x v="5"/>
    <n v="1.1000000000000001"/>
  </r>
  <r>
    <s v="ORD00260"/>
    <x v="19"/>
    <x v="2"/>
    <n v="7339.66"/>
    <n v="2"/>
    <n v="14679.32"/>
    <x v="132"/>
    <x v="5"/>
    <n v="1.1000000000000001"/>
  </r>
  <r>
    <s v="ORD00261"/>
    <x v="7"/>
    <x v="4"/>
    <n v="41405.370000000003"/>
    <n v="2"/>
    <n v="82810.740000000005"/>
    <x v="185"/>
    <x v="2"/>
    <n v="4.5999999999999996"/>
  </r>
  <r>
    <s v="ORD00262"/>
    <x v="5"/>
    <x v="4"/>
    <n v="36114.379999999997"/>
    <n v="1"/>
    <n v="36114.379999999997"/>
    <x v="186"/>
    <x v="5"/>
    <n v="4.5999999999999996"/>
  </r>
  <r>
    <s v="ORD00263"/>
    <x v="12"/>
    <x v="3"/>
    <n v="19915.59"/>
    <n v="5"/>
    <n v="99577.95"/>
    <x v="187"/>
    <x v="3"/>
    <n v="1.2"/>
  </r>
  <r>
    <s v="ORD00264"/>
    <x v="12"/>
    <x v="3"/>
    <n v="18366.97"/>
    <n v="4"/>
    <n v="73467.88"/>
    <x v="188"/>
    <x v="3"/>
    <n v="1.2"/>
  </r>
  <r>
    <s v="ORD00265"/>
    <x v="12"/>
    <x v="3"/>
    <n v="8563.14"/>
    <n v="2"/>
    <n v="17126.28"/>
    <x v="189"/>
    <x v="3"/>
    <n v="3.1"/>
  </r>
  <r>
    <s v="ORD00266"/>
    <x v="17"/>
    <x v="2"/>
    <n v="40461.79"/>
    <n v="1"/>
    <n v="40461.79"/>
    <x v="190"/>
    <x v="4"/>
    <n v="4.9000000000000004"/>
  </r>
  <r>
    <s v="ORD00267"/>
    <x v="8"/>
    <x v="1"/>
    <n v="6943.4"/>
    <n v="5"/>
    <n v="34717"/>
    <x v="70"/>
    <x v="0"/>
    <n v="1.5"/>
  </r>
  <r>
    <s v="ORD00268"/>
    <x v="19"/>
    <x v="2"/>
    <n v="14517.08"/>
    <n v="1"/>
    <n v="14517.08"/>
    <x v="190"/>
    <x v="1"/>
    <n v="3"/>
  </r>
  <r>
    <s v="ORD00269"/>
    <x v="9"/>
    <x v="3"/>
    <n v="4248.25"/>
    <n v="5"/>
    <n v="21241.25"/>
    <x v="163"/>
    <x v="2"/>
    <n v="4.0999999999999996"/>
  </r>
  <r>
    <s v="ORD00270"/>
    <x v="5"/>
    <x v="4"/>
    <n v="43118.73"/>
    <n v="5"/>
    <n v="215593.65"/>
    <x v="191"/>
    <x v="0"/>
    <n v="3.1"/>
  </r>
  <r>
    <s v="ORD00271"/>
    <x v="24"/>
    <x v="1"/>
    <n v="10086.76"/>
    <n v="2"/>
    <n v="20173.52"/>
    <x v="192"/>
    <x v="2"/>
    <n v="1.9"/>
  </r>
  <r>
    <s v="ORD00272"/>
    <x v="2"/>
    <x v="2"/>
    <n v="35373.5"/>
    <n v="4"/>
    <n v="141494"/>
    <x v="193"/>
    <x v="4"/>
    <n v="2.9"/>
  </r>
  <r>
    <s v="ORD00273"/>
    <x v="7"/>
    <x v="4"/>
    <n v="43002.68"/>
    <n v="3"/>
    <n v="129008.04"/>
    <x v="158"/>
    <x v="1"/>
    <n v="4.2"/>
  </r>
  <r>
    <s v="ORD00274"/>
    <x v="18"/>
    <x v="3"/>
    <n v="46388.81"/>
    <n v="1"/>
    <n v="46388.81"/>
    <x v="194"/>
    <x v="3"/>
    <n v="4.4000000000000004"/>
  </r>
  <r>
    <s v="ORD00275"/>
    <x v="14"/>
    <x v="0"/>
    <n v="47384.51"/>
    <n v="3"/>
    <n v="142153.53"/>
    <x v="195"/>
    <x v="5"/>
    <n v="1.5"/>
  </r>
  <r>
    <s v="ORD00276"/>
    <x v="8"/>
    <x v="1"/>
    <n v="15826.47"/>
    <n v="2"/>
    <n v="31652.94"/>
    <x v="196"/>
    <x v="5"/>
    <n v="4.4000000000000004"/>
  </r>
  <r>
    <s v="ORD00277"/>
    <x v="19"/>
    <x v="2"/>
    <n v="33927.57"/>
    <n v="5"/>
    <n v="169637.85"/>
    <x v="86"/>
    <x v="2"/>
    <n v="2.6"/>
  </r>
  <r>
    <s v="ORD00278"/>
    <x v="9"/>
    <x v="3"/>
    <n v="27400.84"/>
    <n v="1"/>
    <n v="27400.84"/>
    <x v="197"/>
    <x v="5"/>
    <n v="3.6"/>
  </r>
  <r>
    <s v="ORD00279"/>
    <x v="9"/>
    <x v="3"/>
    <n v="37684.28"/>
    <n v="4"/>
    <n v="150737.12"/>
    <x v="198"/>
    <x v="3"/>
    <n v="3.2"/>
  </r>
  <r>
    <s v="ORD00280"/>
    <x v="6"/>
    <x v="1"/>
    <n v="22968.18"/>
    <n v="4"/>
    <n v="91872.72"/>
    <x v="199"/>
    <x v="5"/>
    <n v="4.0999999999999996"/>
  </r>
  <r>
    <s v="ORD00281"/>
    <x v="23"/>
    <x v="4"/>
    <n v="43444.93"/>
    <n v="1"/>
    <n v="43444.93"/>
    <x v="200"/>
    <x v="2"/>
    <n v="4"/>
  </r>
  <r>
    <s v="ORD00282"/>
    <x v="20"/>
    <x v="3"/>
    <n v="36083.22"/>
    <n v="3"/>
    <n v="108249.66"/>
    <x v="41"/>
    <x v="4"/>
    <n v="2.9"/>
  </r>
  <r>
    <s v="ORD00283"/>
    <x v="4"/>
    <x v="4"/>
    <n v="43043.82"/>
    <n v="5"/>
    <n v="215219.1"/>
    <x v="201"/>
    <x v="2"/>
    <n v="4.0999999999999996"/>
  </r>
  <r>
    <s v="ORD00284"/>
    <x v="3"/>
    <x v="3"/>
    <n v="1517.63"/>
    <n v="4"/>
    <n v="6070.52"/>
    <x v="202"/>
    <x v="3"/>
    <n v="2"/>
  </r>
  <r>
    <s v="ORD00285"/>
    <x v="21"/>
    <x v="0"/>
    <n v="1626.1"/>
    <n v="5"/>
    <n v="8130.5"/>
    <x v="183"/>
    <x v="4"/>
    <n v="2.8"/>
  </r>
  <r>
    <s v="ORD00286"/>
    <x v="15"/>
    <x v="1"/>
    <n v="40384.620000000003"/>
    <n v="1"/>
    <n v="40384.620000000003"/>
    <x v="203"/>
    <x v="1"/>
    <n v="4.2"/>
  </r>
  <r>
    <s v="ORD00287"/>
    <x v="15"/>
    <x v="1"/>
    <n v="37295.08"/>
    <n v="1"/>
    <n v="37295.08"/>
    <x v="204"/>
    <x v="1"/>
    <n v="4"/>
  </r>
  <r>
    <s v="ORD00288"/>
    <x v="6"/>
    <x v="1"/>
    <n v="13915.5"/>
    <n v="3"/>
    <n v="41746.5"/>
    <x v="205"/>
    <x v="5"/>
    <n v="3.9"/>
  </r>
  <r>
    <s v="ORD00289"/>
    <x v="12"/>
    <x v="3"/>
    <n v="23625.05"/>
    <n v="2"/>
    <n v="47250.1"/>
    <x v="89"/>
    <x v="0"/>
    <n v="2"/>
  </r>
  <r>
    <s v="ORD00290"/>
    <x v="5"/>
    <x v="4"/>
    <n v="464.18"/>
    <n v="3"/>
    <n v="1392.54"/>
    <x v="144"/>
    <x v="0"/>
    <n v="4.0999999999999996"/>
  </r>
  <r>
    <s v="ORD00291"/>
    <x v="15"/>
    <x v="1"/>
    <n v="26667.15"/>
    <n v="2"/>
    <n v="53334.3"/>
    <x v="206"/>
    <x v="4"/>
    <n v="1.9"/>
  </r>
  <r>
    <s v="ORD00292"/>
    <x v="21"/>
    <x v="0"/>
    <n v="29093.02"/>
    <n v="2"/>
    <n v="58186.04"/>
    <x v="207"/>
    <x v="0"/>
    <n v="3.7"/>
  </r>
  <r>
    <s v="ORD00293"/>
    <x v="8"/>
    <x v="1"/>
    <n v="44770.65"/>
    <n v="3"/>
    <n v="134311.95000000001"/>
    <x v="191"/>
    <x v="2"/>
    <n v="3.5"/>
  </r>
  <r>
    <s v="ORD00294"/>
    <x v="16"/>
    <x v="4"/>
    <n v="32749.9"/>
    <n v="1"/>
    <n v="32749.9"/>
    <x v="144"/>
    <x v="5"/>
    <n v="3.8"/>
  </r>
  <r>
    <s v="ORD00295"/>
    <x v="0"/>
    <x v="0"/>
    <n v="4990.66"/>
    <n v="3"/>
    <n v="14971.98"/>
    <x v="76"/>
    <x v="2"/>
    <n v="4.5999999999999996"/>
  </r>
  <r>
    <s v="ORD00296"/>
    <x v="15"/>
    <x v="1"/>
    <n v="11044.89"/>
    <n v="3"/>
    <n v="33134.67"/>
    <x v="208"/>
    <x v="2"/>
    <n v="1.5"/>
  </r>
  <r>
    <s v="ORD00297"/>
    <x v="21"/>
    <x v="0"/>
    <n v="46032.160000000003"/>
    <n v="5"/>
    <n v="230160.8"/>
    <x v="209"/>
    <x v="0"/>
    <n v="4.4000000000000004"/>
  </r>
  <r>
    <s v="ORD00298"/>
    <x v="0"/>
    <x v="0"/>
    <n v="43965.67"/>
    <n v="3"/>
    <n v="131897.01"/>
    <x v="67"/>
    <x v="0"/>
    <n v="1.1000000000000001"/>
  </r>
  <r>
    <s v="ORD00299"/>
    <x v="15"/>
    <x v="1"/>
    <n v="6037.98"/>
    <n v="2"/>
    <n v="12075.96"/>
    <x v="99"/>
    <x v="3"/>
    <n v="3.6"/>
  </r>
  <r>
    <s v="ORD00300"/>
    <x v="13"/>
    <x v="0"/>
    <n v="22747.82"/>
    <n v="3"/>
    <n v="68243.460000000006"/>
    <x v="210"/>
    <x v="0"/>
    <n v="4.5"/>
  </r>
  <r>
    <s v="ORD00301"/>
    <x v="20"/>
    <x v="3"/>
    <n v="26615.919999999998"/>
    <n v="2"/>
    <n v="53231.839999999997"/>
    <x v="211"/>
    <x v="3"/>
    <n v="2.2999999999999998"/>
  </r>
  <r>
    <s v="ORD00302"/>
    <x v="2"/>
    <x v="2"/>
    <n v="48234.31"/>
    <n v="2"/>
    <n v="96468.62"/>
    <x v="212"/>
    <x v="0"/>
    <n v="1.8"/>
  </r>
  <r>
    <s v="ORD00303"/>
    <x v="7"/>
    <x v="4"/>
    <n v="24172.560000000001"/>
    <n v="1"/>
    <n v="24172.560000000001"/>
    <x v="130"/>
    <x v="1"/>
    <n v="3.1"/>
  </r>
  <r>
    <s v="ORD00304"/>
    <x v="21"/>
    <x v="0"/>
    <n v="16385.37"/>
    <n v="3"/>
    <n v="49156.11"/>
    <x v="182"/>
    <x v="2"/>
    <n v="1.6"/>
  </r>
  <r>
    <s v="ORD00305"/>
    <x v="15"/>
    <x v="1"/>
    <n v="29527.22"/>
    <n v="3"/>
    <n v="88581.66"/>
    <x v="13"/>
    <x v="3"/>
    <n v="1.2"/>
  </r>
  <r>
    <s v="ORD00306"/>
    <x v="7"/>
    <x v="4"/>
    <n v="42516.65"/>
    <n v="3"/>
    <n v="127549.95"/>
    <x v="62"/>
    <x v="5"/>
    <n v="1.8"/>
  </r>
  <r>
    <s v="ORD00307"/>
    <x v="13"/>
    <x v="0"/>
    <n v="27175.37"/>
    <n v="5"/>
    <n v="135876.85"/>
    <x v="144"/>
    <x v="3"/>
    <n v="3.9"/>
  </r>
  <r>
    <s v="ORD00308"/>
    <x v="24"/>
    <x v="1"/>
    <n v="25379.68"/>
    <n v="4"/>
    <n v="101518.72"/>
    <x v="185"/>
    <x v="2"/>
    <n v="3.5"/>
  </r>
  <r>
    <s v="ORD00309"/>
    <x v="0"/>
    <x v="0"/>
    <n v="29568.18"/>
    <n v="3"/>
    <n v="88704.54"/>
    <x v="83"/>
    <x v="4"/>
    <n v="1.3"/>
  </r>
  <r>
    <s v="ORD00310"/>
    <x v="21"/>
    <x v="0"/>
    <n v="23562.27"/>
    <n v="2"/>
    <n v="47124.54"/>
    <x v="97"/>
    <x v="4"/>
    <n v="4.9000000000000004"/>
  </r>
  <r>
    <s v="ORD00311"/>
    <x v="24"/>
    <x v="1"/>
    <n v="19134.259999999998"/>
    <n v="2"/>
    <n v="38268.519999999997"/>
    <x v="36"/>
    <x v="3"/>
    <n v="4.5999999999999996"/>
  </r>
  <r>
    <s v="ORD00312"/>
    <x v="21"/>
    <x v="0"/>
    <n v="10176.11"/>
    <n v="5"/>
    <n v="50880.55"/>
    <x v="173"/>
    <x v="5"/>
    <n v="2.1"/>
  </r>
  <r>
    <s v="ORD00313"/>
    <x v="18"/>
    <x v="3"/>
    <n v="48177.16"/>
    <n v="3"/>
    <n v="144531.48000000001"/>
    <x v="139"/>
    <x v="5"/>
    <n v="1.7"/>
  </r>
  <r>
    <s v="ORD00314"/>
    <x v="5"/>
    <x v="4"/>
    <n v="6119.31"/>
    <n v="5"/>
    <n v="30596.55"/>
    <x v="213"/>
    <x v="5"/>
    <n v="1.5"/>
  </r>
  <r>
    <s v="ORD00315"/>
    <x v="19"/>
    <x v="2"/>
    <n v="6015.13"/>
    <n v="1"/>
    <n v="6015.13"/>
    <x v="106"/>
    <x v="4"/>
    <n v="1.9"/>
  </r>
  <r>
    <s v="ORD00316"/>
    <x v="15"/>
    <x v="1"/>
    <n v="41198.839999999997"/>
    <n v="4"/>
    <n v="164795.35999999999"/>
    <x v="61"/>
    <x v="4"/>
    <n v="3"/>
  </r>
  <r>
    <s v="ORD00317"/>
    <x v="14"/>
    <x v="0"/>
    <n v="11527.7"/>
    <n v="3"/>
    <n v="34583.1"/>
    <x v="214"/>
    <x v="5"/>
    <n v="1.8"/>
  </r>
  <r>
    <s v="ORD00318"/>
    <x v="3"/>
    <x v="3"/>
    <n v="27749.19"/>
    <n v="4"/>
    <n v="110996.76"/>
    <x v="18"/>
    <x v="2"/>
    <n v="2.5"/>
  </r>
  <r>
    <s v="ORD00319"/>
    <x v="12"/>
    <x v="3"/>
    <n v="14014.82"/>
    <n v="1"/>
    <n v="14014.82"/>
    <x v="81"/>
    <x v="4"/>
    <n v="4.5999999999999996"/>
  </r>
  <r>
    <s v="ORD00320"/>
    <x v="12"/>
    <x v="3"/>
    <n v="23293.14"/>
    <n v="2"/>
    <n v="46586.28"/>
    <x v="161"/>
    <x v="1"/>
    <n v="4.0999999999999996"/>
  </r>
  <r>
    <s v="ORD00321"/>
    <x v="6"/>
    <x v="1"/>
    <n v="38592.49"/>
    <n v="5"/>
    <n v="192962.45"/>
    <x v="215"/>
    <x v="2"/>
    <n v="3.2"/>
  </r>
  <r>
    <s v="ORD00322"/>
    <x v="12"/>
    <x v="3"/>
    <n v="39898.86"/>
    <n v="1"/>
    <n v="39898.86"/>
    <x v="133"/>
    <x v="2"/>
    <n v="1.8"/>
  </r>
  <r>
    <s v="ORD00323"/>
    <x v="0"/>
    <x v="0"/>
    <n v="39842.5"/>
    <n v="2"/>
    <n v="79685"/>
    <x v="216"/>
    <x v="0"/>
    <n v="4.4000000000000004"/>
  </r>
  <r>
    <s v="ORD00324"/>
    <x v="21"/>
    <x v="0"/>
    <n v="30395.25"/>
    <n v="1"/>
    <n v="30395.25"/>
    <x v="217"/>
    <x v="3"/>
    <n v="1.1000000000000001"/>
  </r>
  <r>
    <s v="ORD00325"/>
    <x v="2"/>
    <x v="2"/>
    <n v="36560.32"/>
    <n v="5"/>
    <n v="182801.6"/>
    <x v="116"/>
    <x v="5"/>
    <n v="2.5"/>
  </r>
  <r>
    <s v="ORD00326"/>
    <x v="4"/>
    <x v="4"/>
    <n v="44248.09"/>
    <n v="1"/>
    <n v="44248.09"/>
    <x v="218"/>
    <x v="5"/>
    <n v="3.1"/>
  </r>
  <r>
    <s v="ORD00327"/>
    <x v="9"/>
    <x v="3"/>
    <n v="18386.259999999998"/>
    <n v="1"/>
    <n v="18386.259999999998"/>
    <x v="185"/>
    <x v="4"/>
    <n v="1.4"/>
  </r>
  <r>
    <s v="ORD00328"/>
    <x v="8"/>
    <x v="1"/>
    <n v="33683.4"/>
    <n v="1"/>
    <n v="33683.4"/>
    <x v="219"/>
    <x v="0"/>
    <n v="3.8"/>
  </r>
  <r>
    <s v="ORD00329"/>
    <x v="17"/>
    <x v="2"/>
    <n v="49561.57"/>
    <n v="3"/>
    <n v="148684.71"/>
    <x v="220"/>
    <x v="5"/>
    <n v="3.5"/>
  </r>
  <r>
    <s v="ORD00330"/>
    <x v="2"/>
    <x v="2"/>
    <n v="18551.650000000001"/>
    <n v="2"/>
    <n v="37103.300000000003"/>
    <x v="13"/>
    <x v="4"/>
    <n v="2.6"/>
  </r>
  <r>
    <s v="ORD00331"/>
    <x v="20"/>
    <x v="3"/>
    <n v="12249.35"/>
    <n v="5"/>
    <n v="61246.75"/>
    <x v="221"/>
    <x v="2"/>
    <n v="2.9"/>
  </r>
  <r>
    <s v="ORD00332"/>
    <x v="1"/>
    <x v="1"/>
    <n v="35305.39"/>
    <n v="1"/>
    <n v="35305.39"/>
    <x v="32"/>
    <x v="1"/>
    <n v="2.2000000000000002"/>
  </r>
  <r>
    <s v="ORD00333"/>
    <x v="3"/>
    <x v="3"/>
    <n v="16790.46"/>
    <n v="5"/>
    <n v="83952.3"/>
    <x v="222"/>
    <x v="5"/>
    <n v="4.3"/>
  </r>
  <r>
    <s v="ORD00334"/>
    <x v="8"/>
    <x v="1"/>
    <n v="26096.959999999999"/>
    <n v="4"/>
    <n v="104387.84"/>
    <x v="179"/>
    <x v="0"/>
    <n v="3.5"/>
  </r>
  <r>
    <s v="ORD00335"/>
    <x v="22"/>
    <x v="0"/>
    <n v="34361.96"/>
    <n v="5"/>
    <n v="171809.8"/>
    <x v="15"/>
    <x v="5"/>
    <n v="4.4000000000000004"/>
  </r>
  <r>
    <s v="ORD00336"/>
    <x v="7"/>
    <x v="4"/>
    <n v="46079.49"/>
    <n v="5"/>
    <n v="230397.45"/>
    <x v="223"/>
    <x v="5"/>
    <n v="3.7"/>
  </r>
  <r>
    <s v="ORD00337"/>
    <x v="5"/>
    <x v="4"/>
    <n v="47053.440000000002"/>
    <n v="2"/>
    <n v="94106.880000000005"/>
    <x v="224"/>
    <x v="3"/>
    <n v="3"/>
  </r>
  <r>
    <s v="ORD00338"/>
    <x v="9"/>
    <x v="3"/>
    <n v="18905.939999999999"/>
    <n v="3"/>
    <n v="56717.82"/>
    <x v="225"/>
    <x v="1"/>
    <n v="4.5"/>
  </r>
  <r>
    <s v="ORD00339"/>
    <x v="17"/>
    <x v="2"/>
    <n v="30977.18"/>
    <n v="3"/>
    <n v="92931.54"/>
    <x v="3"/>
    <x v="1"/>
    <n v="3.3"/>
  </r>
  <r>
    <s v="ORD00340"/>
    <x v="7"/>
    <x v="4"/>
    <n v="41841.57"/>
    <n v="2"/>
    <n v="83683.14"/>
    <x v="102"/>
    <x v="3"/>
    <n v="1.1000000000000001"/>
  </r>
  <r>
    <s v="ORD00341"/>
    <x v="18"/>
    <x v="3"/>
    <n v="4277.1499999999996"/>
    <n v="4"/>
    <n v="17108.599999999999"/>
    <x v="172"/>
    <x v="3"/>
    <n v="2.1"/>
  </r>
  <r>
    <s v="ORD00342"/>
    <x v="23"/>
    <x v="4"/>
    <n v="15648.85"/>
    <n v="2"/>
    <n v="31297.7"/>
    <x v="115"/>
    <x v="4"/>
    <n v="4.4000000000000004"/>
  </r>
  <r>
    <s v="ORD00343"/>
    <x v="20"/>
    <x v="3"/>
    <n v="26992.720000000001"/>
    <n v="3"/>
    <n v="80978.16"/>
    <x v="40"/>
    <x v="2"/>
    <n v="1.1000000000000001"/>
  </r>
  <r>
    <s v="ORD00344"/>
    <x v="20"/>
    <x v="3"/>
    <n v="49586.31"/>
    <n v="4"/>
    <n v="198345.24"/>
    <x v="226"/>
    <x v="1"/>
    <n v="4.3"/>
  </r>
  <r>
    <s v="ORD00345"/>
    <x v="9"/>
    <x v="3"/>
    <n v="37181.040000000001"/>
    <n v="1"/>
    <n v="37181.040000000001"/>
    <x v="103"/>
    <x v="2"/>
    <n v="1.2"/>
  </r>
  <r>
    <s v="ORD00346"/>
    <x v="6"/>
    <x v="1"/>
    <n v="46090.65"/>
    <n v="4"/>
    <n v="184362.6"/>
    <x v="227"/>
    <x v="1"/>
    <n v="3.3"/>
  </r>
  <r>
    <s v="ORD00347"/>
    <x v="0"/>
    <x v="0"/>
    <n v="48151.09"/>
    <n v="4"/>
    <n v="192604.36"/>
    <x v="22"/>
    <x v="1"/>
    <n v="2.9"/>
  </r>
  <r>
    <s v="ORD00348"/>
    <x v="3"/>
    <x v="3"/>
    <n v="8197.4699999999993"/>
    <n v="2"/>
    <n v="16394.939999999999"/>
    <x v="228"/>
    <x v="2"/>
    <n v="3"/>
  </r>
  <r>
    <s v="ORD00349"/>
    <x v="4"/>
    <x v="4"/>
    <n v="40679.29"/>
    <n v="2"/>
    <n v="81358.58"/>
    <x v="196"/>
    <x v="2"/>
    <n v="1.5"/>
  </r>
  <r>
    <s v="ORD00350"/>
    <x v="10"/>
    <x v="2"/>
    <n v="45012.71"/>
    <n v="3"/>
    <n v="135038.13"/>
    <x v="229"/>
    <x v="1"/>
    <n v="4.9000000000000004"/>
  </r>
  <r>
    <s v="ORD00351"/>
    <x v="10"/>
    <x v="2"/>
    <n v="5127.0200000000004"/>
    <n v="3"/>
    <n v="15381.06"/>
    <x v="197"/>
    <x v="0"/>
    <n v="4.5"/>
  </r>
  <r>
    <s v="ORD00352"/>
    <x v="18"/>
    <x v="3"/>
    <n v="13954.48"/>
    <n v="3"/>
    <n v="41863.440000000002"/>
    <x v="83"/>
    <x v="1"/>
    <n v="1.5"/>
  </r>
  <r>
    <s v="ORD00353"/>
    <x v="15"/>
    <x v="1"/>
    <n v="26166.89"/>
    <n v="4"/>
    <n v="104667.56"/>
    <x v="187"/>
    <x v="4"/>
    <n v="3.7"/>
  </r>
  <r>
    <s v="ORD00354"/>
    <x v="17"/>
    <x v="2"/>
    <n v="45072.69"/>
    <n v="2"/>
    <n v="90145.38"/>
    <x v="230"/>
    <x v="2"/>
    <n v="2.6"/>
  </r>
  <r>
    <s v="ORD00355"/>
    <x v="15"/>
    <x v="1"/>
    <n v="33543.19"/>
    <n v="2"/>
    <n v="67086.38"/>
    <x v="231"/>
    <x v="1"/>
    <n v="3.7"/>
  </r>
  <r>
    <s v="ORD00356"/>
    <x v="22"/>
    <x v="0"/>
    <n v="34116.230000000003"/>
    <n v="3"/>
    <n v="102348.69"/>
    <x v="232"/>
    <x v="2"/>
    <n v="1.4"/>
  </r>
  <r>
    <s v="ORD00357"/>
    <x v="22"/>
    <x v="0"/>
    <n v="15466.4"/>
    <n v="5"/>
    <n v="77332"/>
    <x v="136"/>
    <x v="2"/>
    <n v="2.9"/>
  </r>
  <r>
    <s v="ORD00358"/>
    <x v="18"/>
    <x v="3"/>
    <n v="19879.400000000001"/>
    <n v="4"/>
    <n v="79517.600000000006"/>
    <x v="233"/>
    <x v="0"/>
    <n v="3.2"/>
  </r>
  <r>
    <s v="ORD00359"/>
    <x v="23"/>
    <x v="4"/>
    <n v="11914.15"/>
    <n v="2"/>
    <n v="23828.3"/>
    <x v="32"/>
    <x v="2"/>
    <n v="2.4"/>
  </r>
  <r>
    <s v="ORD00360"/>
    <x v="24"/>
    <x v="1"/>
    <n v="7936.32"/>
    <n v="4"/>
    <n v="31745.279999999999"/>
    <x v="234"/>
    <x v="4"/>
    <n v="1.5"/>
  </r>
  <r>
    <s v="ORD00361"/>
    <x v="0"/>
    <x v="0"/>
    <n v="7633.85"/>
    <n v="2"/>
    <n v="15267.7"/>
    <x v="186"/>
    <x v="5"/>
    <n v="3.8"/>
  </r>
  <r>
    <s v="ORD00362"/>
    <x v="2"/>
    <x v="2"/>
    <n v="2470.8200000000002"/>
    <n v="4"/>
    <n v="9883.2800000000007"/>
    <x v="235"/>
    <x v="1"/>
    <n v="2"/>
  </r>
  <r>
    <s v="ORD00363"/>
    <x v="23"/>
    <x v="4"/>
    <n v="908.47"/>
    <n v="3"/>
    <n v="2725.41"/>
    <x v="122"/>
    <x v="3"/>
    <n v="4.5999999999999996"/>
  </r>
  <r>
    <s v="ORD00364"/>
    <x v="7"/>
    <x v="4"/>
    <n v="14102.56"/>
    <n v="4"/>
    <n v="56410.239999999998"/>
    <x v="210"/>
    <x v="3"/>
    <n v="2.9"/>
  </r>
  <r>
    <s v="ORD00365"/>
    <x v="18"/>
    <x v="3"/>
    <n v="23287.93"/>
    <n v="4"/>
    <n v="93151.72"/>
    <x v="225"/>
    <x v="0"/>
    <n v="2"/>
  </r>
  <r>
    <s v="ORD00366"/>
    <x v="5"/>
    <x v="4"/>
    <n v="41333.21"/>
    <n v="1"/>
    <n v="41333.21"/>
    <x v="84"/>
    <x v="5"/>
    <n v="4"/>
  </r>
  <r>
    <s v="ORD00367"/>
    <x v="0"/>
    <x v="0"/>
    <n v="35304.99"/>
    <n v="1"/>
    <n v="35304.99"/>
    <x v="128"/>
    <x v="3"/>
    <n v="2"/>
  </r>
  <r>
    <s v="ORD00368"/>
    <x v="1"/>
    <x v="1"/>
    <n v="22335.58"/>
    <n v="2"/>
    <n v="44671.16"/>
    <x v="34"/>
    <x v="2"/>
    <n v="3.8"/>
  </r>
  <r>
    <s v="ORD00369"/>
    <x v="4"/>
    <x v="4"/>
    <n v="40486.080000000002"/>
    <n v="5"/>
    <n v="202430.4"/>
    <x v="236"/>
    <x v="2"/>
    <n v="3.6"/>
  </r>
  <r>
    <s v="ORD00370"/>
    <x v="0"/>
    <x v="0"/>
    <n v="20353.400000000001"/>
    <n v="1"/>
    <n v="20353.400000000001"/>
    <x v="89"/>
    <x v="1"/>
    <n v="2.9"/>
  </r>
  <r>
    <s v="ORD00371"/>
    <x v="18"/>
    <x v="3"/>
    <n v="2258.27"/>
    <n v="3"/>
    <n v="6774.81"/>
    <x v="151"/>
    <x v="2"/>
    <n v="4.8"/>
  </r>
  <r>
    <s v="ORD00372"/>
    <x v="12"/>
    <x v="3"/>
    <n v="704.55"/>
    <n v="5"/>
    <n v="3522.75"/>
    <x v="237"/>
    <x v="0"/>
    <n v="4"/>
  </r>
  <r>
    <s v="ORD00373"/>
    <x v="7"/>
    <x v="4"/>
    <n v="38629"/>
    <n v="1"/>
    <n v="38629"/>
    <x v="30"/>
    <x v="5"/>
    <n v="4"/>
  </r>
  <r>
    <s v="ORD00374"/>
    <x v="21"/>
    <x v="0"/>
    <n v="37303.26"/>
    <n v="4"/>
    <n v="149213.04"/>
    <x v="238"/>
    <x v="3"/>
    <n v="2.9"/>
  </r>
  <r>
    <s v="ORD00375"/>
    <x v="12"/>
    <x v="3"/>
    <n v="11507.22"/>
    <n v="4"/>
    <n v="46028.88"/>
    <x v="239"/>
    <x v="0"/>
    <n v="1.4"/>
  </r>
  <r>
    <s v="ORD00376"/>
    <x v="7"/>
    <x v="4"/>
    <n v="48710.25"/>
    <n v="1"/>
    <n v="48710.25"/>
    <x v="185"/>
    <x v="4"/>
    <n v="1.7"/>
  </r>
  <r>
    <s v="ORD00377"/>
    <x v="0"/>
    <x v="0"/>
    <n v="20075.810000000001"/>
    <n v="1"/>
    <n v="20075.810000000001"/>
    <x v="240"/>
    <x v="0"/>
    <n v="4.9000000000000004"/>
  </r>
  <r>
    <s v="ORD00378"/>
    <x v="13"/>
    <x v="0"/>
    <n v="8448.77"/>
    <n v="2"/>
    <n v="16897.54"/>
    <x v="241"/>
    <x v="1"/>
    <n v="3.8"/>
  </r>
  <r>
    <s v="ORD00379"/>
    <x v="6"/>
    <x v="1"/>
    <n v="29310.76"/>
    <n v="4"/>
    <n v="117243.04"/>
    <x v="242"/>
    <x v="2"/>
    <n v="4.4000000000000004"/>
  </r>
  <r>
    <s v="ORD00380"/>
    <x v="0"/>
    <x v="0"/>
    <n v="708.78"/>
    <n v="4"/>
    <n v="2835.12"/>
    <x v="132"/>
    <x v="3"/>
    <n v="2"/>
  </r>
  <r>
    <s v="ORD00381"/>
    <x v="8"/>
    <x v="1"/>
    <n v="24062.33"/>
    <n v="4"/>
    <n v="96249.32"/>
    <x v="243"/>
    <x v="0"/>
    <n v="1.1000000000000001"/>
  </r>
  <r>
    <s v="ORD00382"/>
    <x v="6"/>
    <x v="1"/>
    <n v="27827.66"/>
    <n v="1"/>
    <n v="27827.66"/>
    <x v="170"/>
    <x v="3"/>
    <n v="4.5"/>
  </r>
  <r>
    <s v="ORD00383"/>
    <x v="3"/>
    <x v="3"/>
    <n v="40862.870000000003"/>
    <n v="2"/>
    <n v="81725.740000000005"/>
    <x v="188"/>
    <x v="0"/>
    <n v="1.4"/>
  </r>
  <r>
    <s v="ORD00384"/>
    <x v="6"/>
    <x v="1"/>
    <n v="11399.26"/>
    <n v="2"/>
    <n v="22798.52"/>
    <x v="244"/>
    <x v="5"/>
    <n v="1"/>
  </r>
  <r>
    <s v="ORD00385"/>
    <x v="17"/>
    <x v="2"/>
    <n v="5463.13"/>
    <n v="1"/>
    <n v="5463.13"/>
    <x v="69"/>
    <x v="0"/>
    <n v="3.9"/>
  </r>
  <r>
    <s v="ORD00386"/>
    <x v="13"/>
    <x v="0"/>
    <n v="8644.99"/>
    <n v="5"/>
    <n v="43224.95"/>
    <x v="245"/>
    <x v="0"/>
    <n v="4.3"/>
  </r>
  <r>
    <s v="ORD00387"/>
    <x v="20"/>
    <x v="3"/>
    <n v="27481.15"/>
    <n v="2"/>
    <n v="54962.3"/>
    <x v="75"/>
    <x v="3"/>
    <n v="3.2"/>
  </r>
  <r>
    <s v="ORD00388"/>
    <x v="22"/>
    <x v="0"/>
    <n v="47819.23"/>
    <n v="4"/>
    <n v="191276.92"/>
    <x v="133"/>
    <x v="2"/>
    <n v="1.1000000000000001"/>
  </r>
  <r>
    <s v="ORD00389"/>
    <x v="11"/>
    <x v="2"/>
    <n v="7145.81"/>
    <n v="4"/>
    <n v="28583.24"/>
    <x v="231"/>
    <x v="2"/>
    <n v="1.9"/>
  </r>
  <r>
    <s v="ORD00390"/>
    <x v="20"/>
    <x v="3"/>
    <n v="29847.4"/>
    <n v="3"/>
    <n v="89542.2"/>
    <x v="246"/>
    <x v="0"/>
    <n v="2.9"/>
  </r>
  <r>
    <s v="ORD00391"/>
    <x v="11"/>
    <x v="2"/>
    <n v="11186.35"/>
    <n v="2"/>
    <n v="22372.7"/>
    <x v="114"/>
    <x v="3"/>
    <n v="1.1000000000000001"/>
  </r>
  <r>
    <s v="ORD00392"/>
    <x v="0"/>
    <x v="0"/>
    <n v="36535.74"/>
    <n v="3"/>
    <n v="109607.22"/>
    <x v="205"/>
    <x v="1"/>
    <n v="1.2"/>
  </r>
  <r>
    <s v="ORD00393"/>
    <x v="6"/>
    <x v="1"/>
    <n v="12046.9"/>
    <n v="3"/>
    <n v="36140.699999999997"/>
    <x v="127"/>
    <x v="3"/>
    <n v="3.2"/>
  </r>
  <r>
    <s v="ORD00394"/>
    <x v="17"/>
    <x v="2"/>
    <n v="7043.51"/>
    <n v="4"/>
    <n v="28174.04"/>
    <x v="247"/>
    <x v="1"/>
    <n v="2.2999999999999998"/>
  </r>
  <r>
    <s v="ORD00395"/>
    <x v="6"/>
    <x v="1"/>
    <n v="34369.57"/>
    <n v="4"/>
    <n v="137478.28"/>
    <x v="34"/>
    <x v="5"/>
    <n v="1.6"/>
  </r>
  <r>
    <s v="ORD00396"/>
    <x v="6"/>
    <x v="1"/>
    <n v="4827.49"/>
    <n v="3"/>
    <n v="14482.47"/>
    <x v="248"/>
    <x v="0"/>
    <n v="4.2"/>
  </r>
  <r>
    <s v="ORD00397"/>
    <x v="11"/>
    <x v="2"/>
    <n v="14851.66"/>
    <n v="2"/>
    <n v="29703.32"/>
    <x v="219"/>
    <x v="0"/>
    <n v="1.9"/>
  </r>
  <r>
    <s v="ORD00398"/>
    <x v="8"/>
    <x v="1"/>
    <n v="40248.269999999997"/>
    <n v="3"/>
    <n v="120744.81"/>
    <x v="249"/>
    <x v="2"/>
    <n v="3.9"/>
  </r>
  <r>
    <s v="ORD00399"/>
    <x v="1"/>
    <x v="1"/>
    <n v="37135.360000000001"/>
    <n v="2"/>
    <n v="74270.720000000001"/>
    <x v="97"/>
    <x v="5"/>
    <n v="3"/>
  </r>
  <r>
    <s v="ORD00400"/>
    <x v="19"/>
    <x v="2"/>
    <n v="25794.78"/>
    <n v="5"/>
    <n v="128973.9"/>
    <x v="250"/>
    <x v="0"/>
    <n v="1"/>
  </r>
  <r>
    <s v="ORD00401"/>
    <x v="19"/>
    <x v="2"/>
    <n v="47564.29"/>
    <n v="3"/>
    <n v="142692.87"/>
    <x v="82"/>
    <x v="5"/>
    <n v="3.5"/>
  </r>
  <r>
    <s v="ORD00402"/>
    <x v="5"/>
    <x v="4"/>
    <n v="5500.92"/>
    <n v="3"/>
    <n v="16502.759999999998"/>
    <x v="251"/>
    <x v="0"/>
    <n v="2.2999999999999998"/>
  </r>
  <r>
    <s v="ORD00403"/>
    <x v="13"/>
    <x v="0"/>
    <n v="904.29"/>
    <n v="2"/>
    <n v="1808.58"/>
    <x v="31"/>
    <x v="0"/>
    <n v="3.5"/>
  </r>
  <r>
    <s v="ORD00404"/>
    <x v="3"/>
    <x v="3"/>
    <n v="25035.46"/>
    <n v="2"/>
    <n v="50070.92"/>
    <x v="252"/>
    <x v="0"/>
    <n v="4.5"/>
  </r>
  <r>
    <s v="ORD00405"/>
    <x v="6"/>
    <x v="1"/>
    <n v="30156.36"/>
    <n v="5"/>
    <n v="150781.79999999999"/>
    <x v="16"/>
    <x v="1"/>
    <n v="4.4000000000000004"/>
  </r>
  <r>
    <s v="ORD00406"/>
    <x v="8"/>
    <x v="1"/>
    <n v="42189.9"/>
    <n v="1"/>
    <n v="42189.9"/>
    <x v="83"/>
    <x v="4"/>
    <n v="3.4"/>
  </r>
  <r>
    <s v="ORD00407"/>
    <x v="1"/>
    <x v="1"/>
    <n v="41122.81"/>
    <n v="2"/>
    <n v="82245.62"/>
    <x v="72"/>
    <x v="5"/>
    <n v="4.8"/>
  </r>
  <r>
    <s v="ORD00408"/>
    <x v="15"/>
    <x v="1"/>
    <n v="21705.78"/>
    <n v="1"/>
    <n v="21705.78"/>
    <x v="157"/>
    <x v="3"/>
    <n v="1.1000000000000001"/>
  </r>
  <r>
    <s v="ORD00409"/>
    <x v="20"/>
    <x v="3"/>
    <n v="28391.65"/>
    <n v="3"/>
    <n v="85174.95"/>
    <x v="180"/>
    <x v="0"/>
    <n v="2.5"/>
  </r>
  <r>
    <s v="ORD00410"/>
    <x v="5"/>
    <x v="4"/>
    <n v="40031.86"/>
    <n v="2"/>
    <n v="80063.72"/>
    <x v="253"/>
    <x v="3"/>
    <n v="1.9"/>
  </r>
  <r>
    <s v="ORD00411"/>
    <x v="5"/>
    <x v="4"/>
    <n v="41248.019999999997"/>
    <n v="4"/>
    <n v="164992.07999999999"/>
    <x v="83"/>
    <x v="4"/>
    <n v="2.6"/>
  </r>
  <r>
    <s v="ORD00412"/>
    <x v="19"/>
    <x v="2"/>
    <n v="35325.379999999997"/>
    <n v="2"/>
    <n v="70650.759999999995"/>
    <x v="2"/>
    <x v="1"/>
    <n v="4.0999999999999996"/>
  </r>
  <r>
    <s v="ORD00413"/>
    <x v="5"/>
    <x v="4"/>
    <n v="45866.22"/>
    <n v="1"/>
    <n v="45866.22"/>
    <x v="254"/>
    <x v="3"/>
    <n v="3.9"/>
  </r>
  <r>
    <s v="ORD00414"/>
    <x v="24"/>
    <x v="1"/>
    <n v="42975.360000000001"/>
    <n v="4"/>
    <n v="171901.44"/>
    <x v="255"/>
    <x v="3"/>
    <n v="3.3"/>
  </r>
  <r>
    <s v="ORD00415"/>
    <x v="9"/>
    <x v="3"/>
    <n v="7532.86"/>
    <n v="5"/>
    <n v="37664.300000000003"/>
    <x v="197"/>
    <x v="1"/>
    <n v="1.5"/>
  </r>
  <r>
    <s v="ORD00416"/>
    <x v="2"/>
    <x v="2"/>
    <n v="39931.75"/>
    <n v="4"/>
    <n v="159727"/>
    <x v="249"/>
    <x v="4"/>
    <n v="2.4"/>
  </r>
  <r>
    <s v="ORD00417"/>
    <x v="20"/>
    <x v="3"/>
    <n v="20760.439999999999"/>
    <n v="4"/>
    <n v="83041.759999999995"/>
    <x v="248"/>
    <x v="3"/>
    <n v="2.4"/>
  </r>
  <r>
    <s v="ORD00418"/>
    <x v="15"/>
    <x v="1"/>
    <n v="29466.3"/>
    <n v="5"/>
    <n v="147331.5"/>
    <x v="22"/>
    <x v="5"/>
    <n v="1.3"/>
  </r>
  <r>
    <s v="ORD00419"/>
    <x v="2"/>
    <x v="2"/>
    <n v="756.85"/>
    <n v="3"/>
    <n v="2270.5500000000002"/>
    <x v="177"/>
    <x v="1"/>
    <n v="4.8"/>
  </r>
  <r>
    <s v="ORD00420"/>
    <x v="3"/>
    <x v="3"/>
    <n v="43711.45"/>
    <n v="4"/>
    <n v="174845.8"/>
    <x v="33"/>
    <x v="2"/>
    <n v="4.5"/>
  </r>
  <r>
    <s v="ORD00421"/>
    <x v="13"/>
    <x v="0"/>
    <n v="1134.78"/>
    <n v="2"/>
    <n v="2269.56"/>
    <x v="256"/>
    <x v="0"/>
    <n v="3.9"/>
  </r>
  <r>
    <s v="ORD00422"/>
    <x v="23"/>
    <x v="4"/>
    <n v="6859"/>
    <n v="3"/>
    <n v="20577"/>
    <x v="157"/>
    <x v="5"/>
    <n v="1.6"/>
  </r>
  <r>
    <s v="ORD00423"/>
    <x v="22"/>
    <x v="0"/>
    <n v="28818.74"/>
    <n v="3"/>
    <n v="86456.22"/>
    <x v="33"/>
    <x v="0"/>
    <n v="1.4"/>
  </r>
  <r>
    <s v="ORD00424"/>
    <x v="18"/>
    <x v="3"/>
    <n v="25233.95"/>
    <n v="4"/>
    <n v="100935.8"/>
    <x v="257"/>
    <x v="3"/>
    <n v="4.0999999999999996"/>
  </r>
  <r>
    <s v="ORD00425"/>
    <x v="0"/>
    <x v="0"/>
    <n v="28577.34"/>
    <n v="1"/>
    <n v="28577.34"/>
    <x v="258"/>
    <x v="1"/>
    <n v="2.7"/>
  </r>
  <r>
    <s v="ORD00426"/>
    <x v="16"/>
    <x v="4"/>
    <n v="7322.87"/>
    <n v="3"/>
    <n v="21968.61"/>
    <x v="259"/>
    <x v="3"/>
    <n v="5"/>
  </r>
  <r>
    <s v="ORD00427"/>
    <x v="21"/>
    <x v="0"/>
    <n v="25144.48"/>
    <n v="4"/>
    <n v="100577.92"/>
    <x v="260"/>
    <x v="5"/>
    <n v="1.3"/>
  </r>
  <r>
    <s v="ORD00428"/>
    <x v="5"/>
    <x v="4"/>
    <n v="16289.17"/>
    <n v="5"/>
    <n v="81445.850000000006"/>
    <x v="159"/>
    <x v="5"/>
    <n v="2.6"/>
  </r>
  <r>
    <s v="ORD00429"/>
    <x v="13"/>
    <x v="0"/>
    <n v="24973.13"/>
    <n v="3"/>
    <n v="74919.39"/>
    <x v="209"/>
    <x v="0"/>
    <n v="3.2"/>
  </r>
  <r>
    <s v="ORD00430"/>
    <x v="4"/>
    <x v="4"/>
    <n v="5804.38"/>
    <n v="2"/>
    <n v="11608.76"/>
    <x v="52"/>
    <x v="3"/>
    <n v="2.2000000000000002"/>
  </r>
  <r>
    <s v="ORD00431"/>
    <x v="1"/>
    <x v="1"/>
    <n v="43502.85"/>
    <n v="1"/>
    <n v="43502.85"/>
    <x v="261"/>
    <x v="5"/>
    <n v="4.2"/>
  </r>
  <r>
    <s v="ORD00432"/>
    <x v="12"/>
    <x v="3"/>
    <n v="46770.01"/>
    <n v="5"/>
    <n v="233850.05"/>
    <x v="262"/>
    <x v="5"/>
    <n v="2.9"/>
  </r>
  <r>
    <s v="ORD00433"/>
    <x v="18"/>
    <x v="3"/>
    <n v="38160.980000000003"/>
    <n v="2"/>
    <n v="76321.960000000006"/>
    <x v="263"/>
    <x v="0"/>
    <n v="4"/>
  </r>
  <r>
    <s v="ORD00434"/>
    <x v="20"/>
    <x v="3"/>
    <n v="14797.27"/>
    <n v="2"/>
    <n v="29594.54"/>
    <x v="227"/>
    <x v="1"/>
    <n v="3.4"/>
  </r>
  <r>
    <s v="ORD00435"/>
    <x v="19"/>
    <x v="2"/>
    <n v="16951.57"/>
    <n v="5"/>
    <n v="84757.85"/>
    <x v="179"/>
    <x v="2"/>
    <n v="2"/>
  </r>
  <r>
    <s v="ORD00436"/>
    <x v="12"/>
    <x v="3"/>
    <n v="20087.650000000001"/>
    <n v="2"/>
    <n v="40175.300000000003"/>
    <x v="75"/>
    <x v="2"/>
    <n v="2.7"/>
  </r>
  <r>
    <s v="ORD00437"/>
    <x v="2"/>
    <x v="2"/>
    <n v="45544.54"/>
    <n v="4"/>
    <n v="182178.16"/>
    <x v="264"/>
    <x v="3"/>
    <n v="3"/>
  </r>
  <r>
    <s v="ORD00438"/>
    <x v="19"/>
    <x v="2"/>
    <n v="4986.8999999999996"/>
    <n v="1"/>
    <n v="4986.8999999999996"/>
    <x v="97"/>
    <x v="3"/>
    <n v="4.4000000000000004"/>
  </r>
  <r>
    <s v="ORD00439"/>
    <x v="16"/>
    <x v="4"/>
    <n v="37890.559999999998"/>
    <n v="1"/>
    <n v="37890.559999999998"/>
    <x v="69"/>
    <x v="3"/>
    <n v="2.4"/>
  </r>
  <r>
    <s v="ORD00440"/>
    <x v="9"/>
    <x v="3"/>
    <n v="26947.54"/>
    <n v="2"/>
    <n v="53895.08"/>
    <x v="224"/>
    <x v="5"/>
    <n v="4.0999999999999996"/>
  </r>
  <r>
    <s v="ORD00441"/>
    <x v="20"/>
    <x v="3"/>
    <n v="16929.740000000002"/>
    <n v="3"/>
    <n v="50789.22"/>
    <x v="265"/>
    <x v="2"/>
    <n v="1.5"/>
  </r>
  <r>
    <s v="ORD00442"/>
    <x v="12"/>
    <x v="3"/>
    <n v="30310.92"/>
    <n v="3"/>
    <n v="90932.76"/>
    <x v="112"/>
    <x v="1"/>
    <n v="3.5"/>
  </r>
  <r>
    <s v="ORD00443"/>
    <x v="0"/>
    <x v="0"/>
    <n v="33643.5"/>
    <n v="5"/>
    <n v="168217.5"/>
    <x v="175"/>
    <x v="1"/>
    <n v="4.2"/>
  </r>
  <r>
    <s v="ORD00444"/>
    <x v="14"/>
    <x v="0"/>
    <n v="27847.81"/>
    <n v="3"/>
    <n v="83543.429999999993"/>
    <x v="266"/>
    <x v="5"/>
    <n v="4.3"/>
  </r>
  <r>
    <s v="ORD00445"/>
    <x v="0"/>
    <x v="0"/>
    <n v="19055.03"/>
    <n v="3"/>
    <n v="57165.09"/>
    <x v="67"/>
    <x v="4"/>
    <n v="4.3"/>
  </r>
  <r>
    <s v="ORD00446"/>
    <x v="22"/>
    <x v="0"/>
    <n v="24012.7"/>
    <n v="1"/>
    <n v="24012.7"/>
    <x v="236"/>
    <x v="4"/>
    <n v="4.8"/>
  </r>
  <r>
    <s v="ORD00447"/>
    <x v="6"/>
    <x v="1"/>
    <n v="8182.19"/>
    <n v="2"/>
    <n v="16364.38"/>
    <x v="95"/>
    <x v="3"/>
    <n v="4.2"/>
  </r>
  <r>
    <s v="ORD00448"/>
    <x v="17"/>
    <x v="2"/>
    <n v="35810.629999999997"/>
    <n v="4"/>
    <n v="143242.51999999999"/>
    <x v="164"/>
    <x v="1"/>
    <n v="1.2"/>
  </r>
  <r>
    <s v="ORD00449"/>
    <x v="15"/>
    <x v="1"/>
    <n v="23433.86"/>
    <n v="1"/>
    <n v="23433.86"/>
    <x v="173"/>
    <x v="3"/>
    <n v="3.8"/>
  </r>
  <r>
    <s v="ORD00450"/>
    <x v="9"/>
    <x v="3"/>
    <n v="42946.11"/>
    <n v="4"/>
    <n v="171784.44"/>
    <x v="140"/>
    <x v="1"/>
    <n v="3.2"/>
  </r>
  <r>
    <s v="ORD00451"/>
    <x v="6"/>
    <x v="1"/>
    <n v="3995.44"/>
    <n v="4"/>
    <n v="15981.76"/>
    <x v="235"/>
    <x v="0"/>
    <n v="4"/>
  </r>
  <r>
    <s v="ORD00452"/>
    <x v="2"/>
    <x v="2"/>
    <n v="38728.75"/>
    <n v="1"/>
    <n v="38728.75"/>
    <x v="157"/>
    <x v="2"/>
    <n v="4"/>
  </r>
  <r>
    <s v="ORD00453"/>
    <x v="8"/>
    <x v="1"/>
    <n v="46205.47"/>
    <n v="3"/>
    <n v="138616.41"/>
    <x v="65"/>
    <x v="4"/>
    <n v="2.7"/>
  </r>
  <r>
    <s v="ORD00454"/>
    <x v="1"/>
    <x v="1"/>
    <n v="7631.48"/>
    <n v="3"/>
    <n v="22894.44"/>
    <x v="100"/>
    <x v="0"/>
    <n v="3"/>
  </r>
  <r>
    <s v="ORD00455"/>
    <x v="13"/>
    <x v="0"/>
    <n v="4581.7299999999996"/>
    <n v="4"/>
    <n v="18326.919999999998"/>
    <x v="267"/>
    <x v="4"/>
    <n v="3.4"/>
  </r>
  <r>
    <s v="ORD00456"/>
    <x v="9"/>
    <x v="3"/>
    <n v="9761.64"/>
    <n v="3"/>
    <n v="29284.92"/>
    <x v="222"/>
    <x v="2"/>
    <n v="2.5"/>
  </r>
  <r>
    <s v="ORD00457"/>
    <x v="17"/>
    <x v="2"/>
    <n v="1582.84"/>
    <n v="3"/>
    <n v="4748.5200000000004"/>
    <x v="45"/>
    <x v="0"/>
    <n v="2.9"/>
  </r>
  <r>
    <s v="ORD00458"/>
    <x v="18"/>
    <x v="3"/>
    <n v="8902.26"/>
    <n v="5"/>
    <n v="44511.3"/>
    <x v="219"/>
    <x v="0"/>
    <n v="2.4"/>
  </r>
  <r>
    <s v="ORD00459"/>
    <x v="23"/>
    <x v="4"/>
    <n v="1549.63"/>
    <n v="1"/>
    <n v="1549.63"/>
    <x v="268"/>
    <x v="3"/>
    <n v="3"/>
  </r>
  <r>
    <s v="ORD00460"/>
    <x v="0"/>
    <x v="0"/>
    <n v="23520.5"/>
    <n v="5"/>
    <n v="117602.5"/>
    <x v="269"/>
    <x v="0"/>
    <n v="1.2"/>
  </r>
  <r>
    <s v="ORD00461"/>
    <x v="2"/>
    <x v="2"/>
    <n v="18729.61"/>
    <n v="1"/>
    <n v="18729.61"/>
    <x v="220"/>
    <x v="3"/>
    <n v="1"/>
  </r>
  <r>
    <s v="ORD00462"/>
    <x v="22"/>
    <x v="0"/>
    <n v="18085.73"/>
    <n v="3"/>
    <n v="54257.19"/>
    <x v="270"/>
    <x v="5"/>
    <n v="4.0999999999999996"/>
  </r>
  <r>
    <s v="ORD00463"/>
    <x v="11"/>
    <x v="2"/>
    <n v="29844.59"/>
    <n v="3"/>
    <n v="89533.77"/>
    <x v="78"/>
    <x v="4"/>
    <n v="3.9"/>
  </r>
  <r>
    <s v="ORD00464"/>
    <x v="9"/>
    <x v="3"/>
    <n v="12964.52"/>
    <n v="2"/>
    <n v="25929.040000000001"/>
    <x v="81"/>
    <x v="2"/>
    <n v="2.7"/>
  </r>
  <r>
    <s v="ORD00465"/>
    <x v="9"/>
    <x v="3"/>
    <n v="43431.64"/>
    <n v="5"/>
    <n v="217158.2"/>
    <x v="271"/>
    <x v="4"/>
    <n v="4.4000000000000004"/>
  </r>
  <r>
    <s v="ORD00466"/>
    <x v="3"/>
    <x v="3"/>
    <n v="31005.06"/>
    <n v="4"/>
    <n v="124020.24"/>
    <x v="135"/>
    <x v="5"/>
    <n v="4"/>
  </r>
  <r>
    <s v="ORD00467"/>
    <x v="2"/>
    <x v="2"/>
    <n v="16010.24"/>
    <n v="3"/>
    <n v="48030.720000000001"/>
    <x v="126"/>
    <x v="5"/>
    <n v="1.6"/>
  </r>
  <r>
    <s v="ORD00468"/>
    <x v="20"/>
    <x v="3"/>
    <n v="18451.91"/>
    <n v="5"/>
    <n v="92259.55"/>
    <x v="0"/>
    <x v="1"/>
    <n v="4.9000000000000004"/>
  </r>
  <r>
    <s v="ORD00469"/>
    <x v="3"/>
    <x v="3"/>
    <n v="31793.09"/>
    <n v="4"/>
    <n v="127172.36"/>
    <x v="218"/>
    <x v="3"/>
    <n v="4.8"/>
  </r>
  <r>
    <s v="ORD00470"/>
    <x v="15"/>
    <x v="1"/>
    <n v="36666.620000000003"/>
    <n v="4"/>
    <n v="146666.48000000001"/>
    <x v="228"/>
    <x v="5"/>
    <n v="2.1"/>
  </r>
  <r>
    <s v="ORD00471"/>
    <x v="12"/>
    <x v="3"/>
    <n v="38681.26"/>
    <n v="1"/>
    <n v="38681.26"/>
    <x v="245"/>
    <x v="3"/>
    <n v="2"/>
  </r>
  <r>
    <s v="ORD00472"/>
    <x v="4"/>
    <x v="4"/>
    <n v="29493.06"/>
    <n v="3"/>
    <n v="88479.18"/>
    <x v="272"/>
    <x v="4"/>
    <n v="4.2"/>
  </r>
  <r>
    <s v="ORD00473"/>
    <x v="16"/>
    <x v="4"/>
    <n v="30009.200000000001"/>
    <n v="2"/>
    <n v="60018.400000000001"/>
    <x v="54"/>
    <x v="0"/>
    <n v="3"/>
  </r>
  <r>
    <s v="ORD00474"/>
    <x v="15"/>
    <x v="1"/>
    <n v="23089.32"/>
    <n v="2"/>
    <n v="46178.64"/>
    <x v="273"/>
    <x v="5"/>
    <n v="3.1"/>
  </r>
  <r>
    <s v="ORD00475"/>
    <x v="23"/>
    <x v="4"/>
    <n v="32460.13"/>
    <n v="4"/>
    <n v="129840.52"/>
    <x v="62"/>
    <x v="4"/>
    <n v="3.7"/>
  </r>
  <r>
    <s v="ORD00476"/>
    <x v="3"/>
    <x v="3"/>
    <n v="29509.14"/>
    <n v="3"/>
    <n v="88527.42"/>
    <x v="274"/>
    <x v="5"/>
    <n v="4.0999999999999996"/>
  </r>
  <r>
    <s v="ORD00477"/>
    <x v="0"/>
    <x v="0"/>
    <n v="5528.69"/>
    <n v="3"/>
    <n v="16586.07"/>
    <x v="96"/>
    <x v="0"/>
    <n v="4.2"/>
  </r>
  <r>
    <s v="ORD00478"/>
    <x v="21"/>
    <x v="0"/>
    <n v="11864.67"/>
    <n v="5"/>
    <n v="59323.35"/>
    <x v="105"/>
    <x v="5"/>
    <n v="2.8"/>
  </r>
  <r>
    <s v="ORD00479"/>
    <x v="23"/>
    <x v="4"/>
    <n v="14273.74"/>
    <n v="2"/>
    <n v="28547.48"/>
    <x v="143"/>
    <x v="5"/>
    <n v="3.8"/>
  </r>
  <r>
    <s v="ORD00480"/>
    <x v="0"/>
    <x v="0"/>
    <n v="26806.06"/>
    <n v="3"/>
    <n v="80418.179999999993"/>
    <x v="163"/>
    <x v="2"/>
    <n v="4.3"/>
  </r>
  <r>
    <s v="ORD00481"/>
    <x v="8"/>
    <x v="1"/>
    <n v="18757.07"/>
    <n v="4"/>
    <n v="75028.28"/>
    <x v="275"/>
    <x v="1"/>
    <n v="4.2"/>
  </r>
  <r>
    <s v="ORD00482"/>
    <x v="22"/>
    <x v="0"/>
    <n v="19661.09"/>
    <n v="4"/>
    <n v="78644.36"/>
    <x v="113"/>
    <x v="5"/>
    <n v="2.5"/>
  </r>
  <r>
    <s v="ORD00483"/>
    <x v="22"/>
    <x v="0"/>
    <n v="27434.25"/>
    <n v="1"/>
    <n v="27434.25"/>
    <x v="276"/>
    <x v="3"/>
    <n v="3.8"/>
  </r>
  <r>
    <s v="ORD00484"/>
    <x v="0"/>
    <x v="0"/>
    <n v="6322.42"/>
    <n v="4"/>
    <n v="25289.68"/>
    <x v="53"/>
    <x v="1"/>
    <n v="4"/>
  </r>
  <r>
    <s v="ORD00485"/>
    <x v="13"/>
    <x v="0"/>
    <n v="4316.82"/>
    <n v="2"/>
    <n v="8633.64"/>
    <x v="108"/>
    <x v="4"/>
    <n v="3.6"/>
  </r>
  <r>
    <s v="ORD00486"/>
    <x v="24"/>
    <x v="1"/>
    <n v="45426.39"/>
    <n v="4"/>
    <n v="181705.56"/>
    <x v="277"/>
    <x v="5"/>
    <n v="2.8"/>
  </r>
  <r>
    <s v="ORD00487"/>
    <x v="18"/>
    <x v="3"/>
    <n v="14971.45"/>
    <n v="3"/>
    <n v="44914.35"/>
    <x v="12"/>
    <x v="1"/>
    <n v="4.5"/>
  </r>
  <r>
    <s v="ORD00488"/>
    <x v="16"/>
    <x v="4"/>
    <n v="12245.12"/>
    <n v="2"/>
    <n v="24490.240000000002"/>
    <x v="222"/>
    <x v="3"/>
    <n v="4.5"/>
  </r>
  <r>
    <s v="ORD00489"/>
    <x v="14"/>
    <x v="0"/>
    <n v="48405.89"/>
    <n v="4"/>
    <n v="193623.56"/>
    <x v="263"/>
    <x v="2"/>
    <n v="4.9000000000000004"/>
  </r>
  <r>
    <s v="ORD00490"/>
    <x v="17"/>
    <x v="2"/>
    <n v="12757.67"/>
    <n v="5"/>
    <n v="63788.35"/>
    <x v="278"/>
    <x v="1"/>
    <n v="3.3"/>
  </r>
  <r>
    <s v="ORD00491"/>
    <x v="24"/>
    <x v="1"/>
    <n v="33071.089999999997"/>
    <n v="2"/>
    <n v="66142.179999999993"/>
    <x v="157"/>
    <x v="3"/>
    <n v="3.5"/>
  </r>
  <r>
    <s v="ORD00492"/>
    <x v="17"/>
    <x v="2"/>
    <n v="4869.5600000000004"/>
    <n v="1"/>
    <n v="4869.5600000000004"/>
    <x v="50"/>
    <x v="1"/>
    <n v="1.9"/>
  </r>
  <r>
    <s v="ORD00493"/>
    <x v="15"/>
    <x v="1"/>
    <n v="45127.31"/>
    <n v="4"/>
    <n v="180509.24"/>
    <x v="101"/>
    <x v="3"/>
    <n v="4.2"/>
  </r>
  <r>
    <s v="ORD00494"/>
    <x v="16"/>
    <x v="4"/>
    <n v="8867.7199999999993"/>
    <n v="1"/>
    <n v="8867.7199999999993"/>
    <x v="29"/>
    <x v="5"/>
    <n v="4.3"/>
  </r>
  <r>
    <s v="ORD00495"/>
    <x v="4"/>
    <x v="4"/>
    <n v="31749.94"/>
    <n v="1"/>
    <n v="31749.94"/>
    <x v="99"/>
    <x v="3"/>
    <n v="3.1"/>
  </r>
  <r>
    <s v="ORD00496"/>
    <x v="19"/>
    <x v="2"/>
    <n v="40944.769999999997"/>
    <n v="2"/>
    <n v="81889.539999999994"/>
    <x v="279"/>
    <x v="4"/>
    <n v="2.9"/>
  </r>
  <r>
    <s v="ORD00497"/>
    <x v="7"/>
    <x v="4"/>
    <n v="20859.61"/>
    <n v="4"/>
    <n v="83438.44"/>
    <x v="280"/>
    <x v="2"/>
    <n v="4.9000000000000004"/>
  </r>
  <r>
    <s v="ORD00498"/>
    <x v="0"/>
    <x v="0"/>
    <n v="6884.74"/>
    <n v="5"/>
    <n v="34423.699999999997"/>
    <x v="172"/>
    <x v="5"/>
    <n v="1.4"/>
  </r>
  <r>
    <s v="ORD00499"/>
    <x v="1"/>
    <x v="1"/>
    <n v="40238.5"/>
    <n v="3"/>
    <n v="120715.5"/>
    <x v="24"/>
    <x v="2"/>
    <n v="3.9"/>
  </r>
  <r>
    <s v="ORD00500"/>
    <x v="12"/>
    <x v="3"/>
    <n v="10422.280000000001"/>
    <n v="5"/>
    <n v="52111.4"/>
    <x v="281"/>
    <x v="5"/>
    <n v="3.5"/>
  </r>
  <r>
    <s v="ORD00501"/>
    <x v="22"/>
    <x v="0"/>
    <n v="13862.56"/>
    <n v="1"/>
    <n v="13862.56"/>
    <x v="123"/>
    <x v="2"/>
    <n v="1.6"/>
  </r>
  <r>
    <s v="ORD00502"/>
    <x v="2"/>
    <x v="2"/>
    <n v="35911.22"/>
    <n v="4"/>
    <n v="143644.88"/>
    <x v="0"/>
    <x v="4"/>
    <n v="4.0999999999999996"/>
  </r>
  <r>
    <s v="ORD00503"/>
    <x v="8"/>
    <x v="1"/>
    <n v="16523.689999999999"/>
    <n v="3"/>
    <n v="49571.07"/>
    <x v="173"/>
    <x v="4"/>
    <n v="2.8"/>
  </r>
  <r>
    <s v="ORD00504"/>
    <x v="11"/>
    <x v="2"/>
    <n v="6566.03"/>
    <n v="5"/>
    <n v="32830.15"/>
    <x v="112"/>
    <x v="3"/>
    <n v="2.6"/>
  </r>
  <r>
    <s v="ORD00505"/>
    <x v="16"/>
    <x v="4"/>
    <n v="18799.05"/>
    <n v="3"/>
    <n v="56397.15"/>
    <x v="178"/>
    <x v="1"/>
    <n v="4.3"/>
  </r>
  <r>
    <s v="ORD00506"/>
    <x v="20"/>
    <x v="3"/>
    <n v="8436.7099999999991"/>
    <n v="5"/>
    <n v="42183.55"/>
    <x v="10"/>
    <x v="2"/>
    <n v="4.9000000000000004"/>
  </r>
  <r>
    <s v="ORD00507"/>
    <x v="4"/>
    <x v="4"/>
    <n v="19380.5"/>
    <n v="4"/>
    <n v="77522"/>
    <x v="19"/>
    <x v="1"/>
    <n v="3.3"/>
  </r>
  <r>
    <s v="ORD00508"/>
    <x v="11"/>
    <x v="2"/>
    <n v="20228.05"/>
    <n v="3"/>
    <n v="60684.15"/>
    <x v="178"/>
    <x v="1"/>
    <n v="1.2"/>
  </r>
  <r>
    <s v="ORD00509"/>
    <x v="18"/>
    <x v="3"/>
    <n v="28606.86"/>
    <n v="5"/>
    <n v="143034.29999999999"/>
    <x v="184"/>
    <x v="1"/>
    <n v="4.8"/>
  </r>
  <r>
    <s v="ORD00510"/>
    <x v="21"/>
    <x v="0"/>
    <n v="16803.759999999998"/>
    <n v="4"/>
    <n v="67215.039999999994"/>
    <x v="235"/>
    <x v="2"/>
    <n v="4"/>
  </r>
  <r>
    <s v="ORD00511"/>
    <x v="2"/>
    <x v="2"/>
    <n v="18093.34"/>
    <n v="5"/>
    <n v="90466.7"/>
    <x v="282"/>
    <x v="4"/>
    <n v="4.2"/>
  </r>
  <r>
    <s v="ORD00512"/>
    <x v="9"/>
    <x v="3"/>
    <n v="31737.13"/>
    <n v="5"/>
    <n v="158685.65"/>
    <x v="77"/>
    <x v="5"/>
    <n v="4"/>
  </r>
  <r>
    <s v="ORD00513"/>
    <x v="11"/>
    <x v="2"/>
    <n v="49861.17"/>
    <n v="3"/>
    <n v="149583.51"/>
    <x v="79"/>
    <x v="1"/>
    <n v="2.5"/>
  </r>
  <r>
    <s v="ORD00514"/>
    <x v="0"/>
    <x v="0"/>
    <n v="21233.35"/>
    <n v="1"/>
    <n v="21233.35"/>
    <x v="156"/>
    <x v="3"/>
    <n v="1.7"/>
  </r>
  <r>
    <s v="ORD00515"/>
    <x v="23"/>
    <x v="4"/>
    <n v="776.91"/>
    <n v="5"/>
    <n v="3884.55"/>
    <x v="70"/>
    <x v="3"/>
    <n v="4.2"/>
  </r>
  <r>
    <s v="ORD00516"/>
    <x v="11"/>
    <x v="2"/>
    <n v="25542.71"/>
    <n v="1"/>
    <n v="25542.71"/>
    <x v="38"/>
    <x v="1"/>
    <n v="2.2000000000000002"/>
  </r>
  <r>
    <s v="ORD00517"/>
    <x v="6"/>
    <x v="1"/>
    <n v="10818.28"/>
    <n v="5"/>
    <n v="54091.4"/>
    <x v="135"/>
    <x v="1"/>
    <n v="1.6"/>
  </r>
  <r>
    <s v="ORD00518"/>
    <x v="9"/>
    <x v="3"/>
    <n v="45801.19"/>
    <n v="5"/>
    <n v="229005.95"/>
    <x v="151"/>
    <x v="4"/>
    <n v="2.4"/>
  </r>
  <r>
    <s v="ORD00519"/>
    <x v="2"/>
    <x v="2"/>
    <n v="6963.56"/>
    <n v="2"/>
    <n v="13927.12"/>
    <x v="87"/>
    <x v="0"/>
    <n v="3.3"/>
  </r>
  <r>
    <s v="ORD00520"/>
    <x v="12"/>
    <x v="3"/>
    <n v="37082.11"/>
    <n v="1"/>
    <n v="37082.11"/>
    <x v="240"/>
    <x v="1"/>
    <n v="4.4000000000000004"/>
  </r>
  <r>
    <s v="ORD00521"/>
    <x v="14"/>
    <x v="0"/>
    <n v="6842.69"/>
    <n v="1"/>
    <n v="6842.69"/>
    <x v="246"/>
    <x v="1"/>
    <n v="3.6"/>
  </r>
  <r>
    <s v="ORD00522"/>
    <x v="10"/>
    <x v="2"/>
    <n v="7283.96"/>
    <n v="1"/>
    <n v="7283.96"/>
    <x v="61"/>
    <x v="3"/>
    <n v="2"/>
  </r>
  <r>
    <s v="ORD00523"/>
    <x v="4"/>
    <x v="4"/>
    <n v="218.58"/>
    <n v="5"/>
    <n v="1092.9000000000001"/>
    <x v="112"/>
    <x v="2"/>
    <n v="4.8"/>
  </r>
  <r>
    <s v="ORD00524"/>
    <x v="18"/>
    <x v="3"/>
    <n v="38689.699999999997"/>
    <n v="3"/>
    <n v="116069.1"/>
    <x v="228"/>
    <x v="0"/>
    <n v="1.9"/>
  </r>
  <r>
    <s v="ORD00525"/>
    <x v="7"/>
    <x v="4"/>
    <n v="8863.9699999999993"/>
    <n v="2"/>
    <n v="17727.939999999999"/>
    <x v="283"/>
    <x v="1"/>
    <n v="4.5"/>
  </r>
  <r>
    <s v="ORD00526"/>
    <x v="6"/>
    <x v="1"/>
    <n v="12472.17"/>
    <n v="5"/>
    <n v="62360.85"/>
    <x v="264"/>
    <x v="1"/>
    <n v="1.9"/>
  </r>
  <r>
    <s v="ORD00527"/>
    <x v="1"/>
    <x v="1"/>
    <n v="8734.44"/>
    <n v="1"/>
    <n v="8734.44"/>
    <x v="35"/>
    <x v="0"/>
    <n v="2.5"/>
  </r>
  <r>
    <s v="ORD00528"/>
    <x v="10"/>
    <x v="2"/>
    <n v="32422.04"/>
    <n v="5"/>
    <n v="162110.20000000001"/>
    <x v="148"/>
    <x v="5"/>
    <n v="1.9"/>
  </r>
  <r>
    <s v="ORD00529"/>
    <x v="18"/>
    <x v="3"/>
    <n v="45532.34"/>
    <n v="5"/>
    <n v="227661.7"/>
    <x v="62"/>
    <x v="4"/>
    <n v="3.6"/>
  </r>
  <r>
    <s v="ORD00530"/>
    <x v="2"/>
    <x v="2"/>
    <n v="22534.799999999999"/>
    <n v="4"/>
    <n v="90139.199999999997"/>
    <x v="53"/>
    <x v="3"/>
    <n v="1.4"/>
  </r>
  <r>
    <s v="ORD00531"/>
    <x v="22"/>
    <x v="0"/>
    <n v="26058.55"/>
    <n v="1"/>
    <n v="26058.55"/>
    <x v="114"/>
    <x v="1"/>
    <n v="2"/>
  </r>
  <r>
    <s v="ORD00532"/>
    <x v="16"/>
    <x v="4"/>
    <n v="13348.84"/>
    <n v="2"/>
    <n v="26697.68"/>
    <x v="251"/>
    <x v="3"/>
    <n v="4.2"/>
  </r>
  <r>
    <s v="ORD00533"/>
    <x v="7"/>
    <x v="4"/>
    <n v="46792.3"/>
    <n v="1"/>
    <n v="46792.3"/>
    <x v="175"/>
    <x v="4"/>
    <n v="4.9000000000000004"/>
  </r>
  <r>
    <s v="ORD00534"/>
    <x v="23"/>
    <x v="4"/>
    <n v="15764.25"/>
    <n v="4"/>
    <n v="63057"/>
    <x v="241"/>
    <x v="3"/>
    <n v="4"/>
  </r>
  <r>
    <s v="ORD00535"/>
    <x v="3"/>
    <x v="3"/>
    <n v="45019"/>
    <n v="5"/>
    <n v="225095"/>
    <x v="238"/>
    <x v="3"/>
    <n v="4.7"/>
  </r>
  <r>
    <s v="ORD00536"/>
    <x v="24"/>
    <x v="1"/>
    <n v="42794.400000000001"/>
    <n v="4"/>
    <n v="171177.60000000001"/>
    <x v="94"/>
    <x v="3"/>
    <n v="4.5999999999999996"/>
  </r>
  <r>
    <s v="ORD00537"/>
    <x v="0"/>
    <x v="0"/>
    <n v="492.53"/>
    <n v="1"/>
    <n v="492.53"/>
    <x v="252"/>
    <x v="4"/>
    <n v="4.4000000000000004"/>
  </r>
  <r>
    <s v="ORD00538"/>
    <x v="23"/>
    <x v="4"/>
    <n v="30721.51"/>
    <n v="4"/>
    <n v="122886.04"/>
    <x v="55"/>
    <x v="2"/>
    <n v="3.4"/>
  </r>
  <r>
    <s v="ORD00539"/>
    <x v="4"/>
    <x v="4"/>
    <n v="17162.64"/>
    <n v="3"/>
    <n v="51487.92"/>
    <x v="270"/>
    <x v="3"/>
    <n v="4.7"/>
  </r>
  <r>
    <s v="ORD00540"/>
    <x v="14"/>
    <x v="0"/>
    <n v="45888.54"/>
    <n v="3"/>
    <n v="137665.62"/>
    <x v="61"/>
    <x v="4"/>
    <n v="2"/>
  </r>
  <r>
    <s v="ORD00541"/>
    <x v="7"/>
    <x v="4"/>
    <n v="49052.43"/>
    <n v="3"/>
    <n v="147157.29"/>
    <x v="141"/>
    <x v="0"/>
    <n v="4.5"/>
  </r>
  <r>
    <s v="ORD00542"/>
    <x v="23"/>
    <x v="4"/>
    <n v="2435.9699999999998"/>
    <n v="1"/>
    <n v="2435.9699999999998"/>
    <x v="13"/>
    <x v="4"/>
    <n v="2.2999999999999998"/>
  </r>
  <r>
    <s v="ORD00543"/>
    <x v="7"/>
    <x v="4"/>
    <n v="48128.02"/>
    <n v="4"/>
    <n v="192512.08"/>
    <x v="284"/>
    <x v="2"/>
    <n v="3.2"/>
  </r>
  <r>
    <s v="ORD00544"/>
    <x v="10"/>
    <x v="2"/>
    <n v="47111.56"/>
    <n v="5"/>
    <n v="235557.8"/>
    <x v="285"/>
    <x v="1"/>
    <n v="2.9"/>
  </r>
  <r>
    <s v="ORD00545"/>
    <x v="0"/>
    <x v="0"/>
    <n v="8091.3"/>
    <n v="5"/>
    <n v="40456.5"/>
    <x v="225"/>
    <x v="4"/>
    <n v="2"/>
  </r>
  <r>
    <s v="ORD00546"/>
    <x v="16"/>
    <x v="4"/>
    <n v="43217.1"/>
    <n v="5"/>
    <n v="216085.5"/>
    <x v="1"/>
    <x v="0"/>
    <n v="2.6"/>
  </r>
  <r>
    <s v="ORD00547"/>
    <x v="8"/>
    <x v="1"/>
    <n v="35592.76"/>
    <n v="2"/>
    <n v="71185.52"/>
    <x v="59"/>
    <x v="0"/>
    <n v="4.5999999999999996"/>
  </r>
  <r>
    <s v="ORD00548"/>
    <x v="17"/>
    <x v="2"/>
    <n v="9534.89"/>
    <n v="5"/>
    <n v="47674.45"/>
    <x v="90"/>
    <x v="5"/>
    <n v="4.2"/>
  </r>
  <r>
    <s v="ORD00549"/>
    <x v="19"/>
    <x v="2"/>
    <n v="46990.87"/>
    <n v="4"/>
    <n v="187963.48"/>
    <x v="198"/>
    <x v="3"/>
    <n v="1.7"/>
  </r>
  <r>
    <s v="ORD00550"/>
    <x v="7"/>
    <x v="4"/>
    <n v="31137.03"/>
    <n v="5"/>
    <n v="155685.15"/>
    <x v="286"/>
    <x v="4"/>
    <n v="2.6"/>
  </r>
  <r>
    <s v="ORD00551"/>
    <x v="18"/>
    <x v="3"/>
    <n v="35821.160000000003"/>
    <n v="4"/>
    <n v="143284.64000000001"/>
    <x v="197"/>
    <x v="0"/>
    <n v="2.1"/>
  </r>
  <r>
    <s v="ORD00552"/>
    <x v="19"/>
    <x v="2"/>
    <n v="28156.95"/>
    <n v="5"/>
    <n v="140784.75"/>
    <x v="59"/>
    <x v="1"/>
    <n v="2.7"/>
  </r>
  <r>
    <s v="ORD00553"/>
    <x v="11"/>
    <x v="2"/>
    <n v="9335.19"/>
    <n v="2"/>
    <n v="18670.38"/>
    <x v="43"/>
    <x v="3"/>
    <n v="3.9"/>
  </r>
  <r>
    <s v="ORD00554"/>
    <x v="15"/>
    <x v="1"/>
    <n v="25114.77"/>
    <n v="2"/>
    <n v="50229.54"/>
    <x v="287"/>
    <x v="3"/>
    <n v="3.6"/>
  </r>
  <r>
    <s v="ORD00555"/>
    <x v="11"/>
    <x v="2"/>
    <n v="19961.03"/>
    <n v="3"/>
    <n v="59883.09"/>
    <x v="43"/>
    <x v="4"/>
    <n v="2.9"/>
  </r>
  <r>
    <s v="ORD00556"/>
    <x v="18"/>
    <x v="3"/>
    <n v="38488.04"/>
    <n v="2"/>
    <n v="76976.08"/>
    <x v="95"/>
    <x v="1"/>
    <n v="1.1000000000000001"/>
  </r>
  <r>
    <s v="ORD00557"/>
    <x v="10"/>
    <x v="2"/>
    <n v="20202.560000000001"/>
    <n v="5"/>
    <n v="101012.8"/>
    <x v="288"/>
    <x v="4"/>
    <n v="3.6"/>
  </r>
  <r>
    <s v="ORD00558"/>
    <x v="20"/>
    <x v="3"/>
    <n v="39008.370000000003"/>
    <n v="3"/>
    <n v="117025.11"/>
    <x v="234"/>
    <x v="5"/>
    <n v="2.2000000000000002"/>
  </r>
  <r>
    <s v="ORD00559"/>
    <x v="10"/>
    <x v="2"/>
    <n v="9946.27"/>
    <n v="1"/>
    <n v="9946.27"/>
    <x v="143"/>
    <x v="4"/>
    <n v="1.1000000000000001"/>
  </r>
  <r>
    <s v="ORD00560"/>
    <x v="15"/>
    <x v="1"/>
    <n v="7994.76"/>
    <n v="5"/>
    <n v="39973.800000000003"/>
    <x v="289"/>
    <x v="0"/>
    <n v="1.5"/>
  </r>
  <r>
    <s v="ORD00561"/>
    <x v="4"/>
    <x v="4"/>
    <n v="6341.62"/>
    <n v="3"/>
    <n v="19024.86"/>
    <x v="87"/>
    <x v="4"/>
    <n v="4.4000000000000004"/>
  </r>
  <r>
    <s v="ORD00562"/>
    <x v="1"/>
    <x v="1"/>
    <n v="37503.57"/>
    <n v="4"/>
    <n v="150014.28"/>
    <x v="220"/>
    <x v="3"/>
    <n v="1.8"/>
  </r>
  <r>
    <s v="ORD00563"/>
    <x v="21"/>
    <x v="0"/>
    <n v="36760.35"/>
    <n v="1"/>
    <n v="36760.35"/>
    <x v="222"/>
    <x v="4"/>
    <n v="1.5"/>
  </r>
  <r>
    <s v="ORD00564"/>
    <x v="8"/>
    <x v="1"/>
    <n v="38023.86"/>
    <n v="5"/>
    <n v="190119.3"/>
    <x v="135"/>
    <x v="4"/>
    <n v="2.1"/>
  </r>
  <r>
    <s v="ORD00565"/>
    <x v="24"/>
    <x v="1"/>
    <n v="17983.34"/>
    <n v="1"/>
    <n v="17983.34"/>
    <x v="124"/>
    <x v="3"/>
    <n v="1.5"/>
  </r>
  <r>
    <s v="ORD00566"/>
    <x v="16"/>
    <x v="4"/>
    <n v="25457.34"/>
    <n v="5"/>
    <n v="127286.7"/>
    <x v="120"/>
    <x v="1"/>
    <n v="4.3"/>
  </r>
  <r>
    <s v="ORD00567"/>
    <x v="22"/>
    <x v="0"/>
    <n v="26220.67"/>
    <n v="4"/>
    <n v="104882.68"/>
    <x v="285"/>
    <x v="5"/>
    <n v="3.3"/>
  </r>
  <r>
    <s v="ORD00568"/>
    <x v="0"/>
    <x v="0"/>
    <n v="48670.07"/>
    <n v="1"/>
    <n v="48670.07"/>
    <x v="178"/>
    <x v="1"/>
    <n v="4.2"/>
  </r>
  <r>
    <s v="ORD00569"/>
    <x v="12"/>
    <x v="3"/>
    <n v="12197.36"/>
    <n v="5"/>
    <n v="60986.8"/>
    <x v="200"/>
    <x v="0"/>
    <n v="3.5"/>
  </r>
  <r>
    <s v="ORD00570"/>
    <x v="9"/>
    <x v="3"/>
    <n v="14488.22"/>
    <n v="4"/>
    <n v="57952.88"/>
    <x v="290"/>
    <x v="5"/>
    <n v="2.7"/>
  </r>
  <r>
    <s v="ORD00571"/>
    <x v="7"/>
    <x v="4"/>
    <n v="33547.94"/>
    <n v="2"/>
    <n v="67095.88"/>
    <x v="101"/>
    <x v="5"/>
    <n v="1.1000000000000001"/>
  </r>
  <r>
    <s v="ORD00572"/>
    <x v="6"/>
    <x v="1"/>
    <n v="4800.26"/>
    <n v="5"/>
    <n v="24001.3"/>
    <x v="125"/>
    <x v="1"/>
    <n v="2.2000000000000002"/>
  </r>
  <r>
    <s v="ORD00573"/>
    <x v="4"/>
    <x v="4"/>
    <n v="36429.57"/>
    <n v="4"/>
    <n v="145718.28"/>
    <x v="61"/>
    <x v="4"/>
    <n v="4.5999999999999996"/>
  </r>
  <r>
    <s v="ORD00574"/>
    <x v="9"/>
    <x v="3"/>
    <n v="29775.43"/>
    <n v="4"/>
    <n v="119101.72"/>
    <x v="244"/>
    <x v="0"/>
    <n v="4.5999999999999996"/>
  </r>
  <r>
    <s v="ORD00575"/>
    <x v="10"/>
    <x v="2"/>
    <n v="10736.32"/>
    <n v="3"/>
    <n v="32208.959999999999"/>
    <x v="30"/>
    <x v="1"/>
    <n v="3.7"/>
  </r>
  <r>
    <s v="ORD00576"/>
    <x v="22"/>
    <x v="0"/>
    <n v="8005.02"/>
    <n v="5"/>
    <n v="40025.1"/>
    <x v="92"/>
    <x v="1"/>
    <n v="2.5"/>
  </r>
  <r>
    <s v="ORD00577"/>
    <x v="10"/>
    <x v="2"/>
    <n v="32078.48"/>
    <n v="3"/>
    <n v="96235.44"/>
    <x v="154"/>
    <x v="4"/>
    <n v="4.5"/>
  </r>
  <r>
    <s v="ORD00578"/>
    <x v="3"/>
    <x v="3"/>
    <n v="31277.18"/>
    <n v="1"/>
    <n v="31277.18"/>
    <x v="45"/>
    <x v="0"/>
    <n v="3"/>
  </r>
  <r>
    <s v="ORD00579"/>
    <x v="20"/>
    <x v="3"/>
    <n v="31094.13"/>
    <n v="1"/>
    <n v="31094.13"/>
    <x v="279"/>
    <x v="1"/>
    <n v="2.7"/>
  </r>
  <r>
    <s v="ORD00580"/>
    <x v="13"/>
    <x v="0"/>
    <n v="15881.67"/>
    <n v="4"/>
    <n v="63526.68"/>
    <x v="243"/>
    <x v="2"/>
    <n v="4.3"/>
  </r>
  <r>
    <s v="ORD00581"/>
    <x v="8"/>
    <x v="1"/>
    <n v="16129.77"/>
    <n v="4"/>
    <n v="64519.08"/>
    <x v="291"/>
    <x v="0"/>
    <n v="1"/>
  </r>
  <r>
    <s v="ORD00582"/>
    <x v="17"/>
    <x v="2"/>
    <n v="39478.69"/>
    <n v="5"/>
    <n v="197393.45"/>
    <x v="21"/>
    <x v="4"/>
    <n v="2.7"/>
  </r>
  <r>
    <s v="ORD00583"/>
    <x v="13"/>
    <x v="0"/>
    <n v="29635.8"/>
    <n v="3"/>
    <n v="88907.4"/>
    <x v="292"/>
    <x v="4"/>
    <n v="1.2"/>
  </r>
  <r>
    <s v="ORD00584"/>
    <x v="3"/>
    <x v="3"/>
    <n v="7892.27"/>
    <n v="2"/>
    <n v="15784.54"/>
    <x v="108"/>
    <x v="5"/>
    <n v="1.1000000000000001"/>
  </r>
  <r>
    <s v="ORD00585"/>
    <x v="9"/>
    <x v="3"/>
    <n v="45112.24"/>
    <n v="3"/>
    <n v="135336.72"/>
    <x v="171"/>
    <x v="2"/>
    <n v="4.7"/>
  </r>
  <r>
    <s v="ORD00586"/>
    <x v="1"/>
    <x v="1"/>
    <n v="26527.78"/>
    <n v="4"/>
    <n v="106111.12"/>
    <x v="40"/>
    <x v="5"/>
    <n v="3.7"/>
  </r>
  <r>
    <s v="ORD00587"/>
    <x v="4"/>
    <x v="4"/>
    <n v="37170.400000000001"/>
    <n v="5"/>
    <n v="185852"/>
    <x v="293"/>
    <x v="0"/>
    <n v="3.7"/>
  </r>
  <r>
    <s v="ORD00588"/>
    <x v="1"/>
    <x v="1"/>
    <n v="47535.79"/>
    <n v="5"/>
    <n v="237678.95"/>
    <x v="40"/>
    <x v="0"/>
    <n v="1.8"/>
  </r>
  <r>
    <s v="ORD00589"/>
    <x v="16"/>
    <x v="4"/>
    <n v="30252.89"/>
    <n v="4"/>
    <n v="121011.56"/>
    <x v="253"/>
    <x v="2"/>
    <n v="4.0999999999999996"/>
  </r>
  <r>
    <s v="ORD00590"/>
    <x v="6"/>
    <x v="1"/>
    <n v="3126.9"/>
    <n v="3"/>
    <n v="9380.7000000000007"/>
    <x v="46"/>
    <x v="3"/>
    <n v="1.9"/>
  </r>
  <r>
    <s v="ORD00591"/>
    <x v="22"/>
    <x v="0"/>
    <n v="40295.47"/>
    <n v="3"/>
    <n v="120886.41"/>
    <x v="294"/>
    <x v="1"/>
    <n v="2.8"/>
  </r>
  <r>
    <s v="ORD00592"/>
    <x v="10"/>
    <x v="2"/>
    <n v="462"/>
    <n v="4"/>
    <n v="1848"/>
    <x v="170"/>
    <x v="3"/>
    <n v="3.4"/>
  </r>
  <r>
    <s v="ORD00593"/>
    <x v="11"/>
    <x v="2"/>
    <n v="22475.54"/>
    <n v="3"/>
    <n v="67426.62"/>
    <x v="233"/>
    <x v="1"/>
    <n v="1.6"/>
  </r>
  <r>
    <s v="ORD00594"/>
    <x v="20"/>
    <x v="3"/>
    <n v="19218.55"/>
    <n v="2"/>
    <n v="38437.1"/>
    <x v="210"/>
    <x v="2"/>
    <n v="4.5"/>
  </r>
  <r>
    <s v="ORD00595"/>
    <x v="3"/>
    <x v="3"/>
    <n v="31162.39"/>
    <n v="5"/>
    <n v="155811.95000000001"/>
    <x v="25"/>
    <x v="4"/>
    <n v="3.4"/>
  </r>
  <r>
    <s v="ORD00596"/>
    <x v="17"/>
    <x v="2"/>
    <n v="16017.54"/>
    <n v="1"/>
    <n v="16017.54"/>
    <x v="176"/>
    <x v="1"/>
    <n v="3.5"/>
  </r>
  <r>
    <s v="ORD00597"/>
    <x v="4"/>
    <x v="4"/>
    <n v="19008.810000000001"/>
    <n v="4"/>
    <n v="76035.240000000005"/>
    <x v="64"/>
    <x v="3"/>
    <n v="4.2"/>
  </r>
  <r>
    <s v="ORD00598"/>
    <x v="20"/>
    <x v="3"/>
    <n v="22353.43"/>
    <n v="3"/>
    <n v="67060.289999999994"/>
    <x v="141"/>
    <x v="0"/>
    <n v="1.3"/>
  </r>
  <r>
    <s v="ORD00599"/>
    <x v="5"/>
    <x v="4"/>
    <n v="30122.28"/>
    <n v="5"/>
    <n v="150611.4"/>
    <x v="165"/>
    <x v="1"/>
    <n v="4.8"/>
  </r>
  <r>
    <s v="ORD00600"/>
    <x v="9"/>
    <x v="3"/>
    <n v="7289.72"/>
    <n v="5"/>
    <n v="36448.6"/>
    <x v="195"/>
    <x v="2"/>
    <n v="1.9"/>
  </r>
  <r>
    <s v="ORD00601"/>
    <x v="3"/>
    <x v="3"/>
    <n v="32122.43"/>
    <n v="4"/>
    <n v="128489.72"/>
    <x v="259"/>
    <x v="3"/>
    <n v="2.8"/>
  </r>
  <r>
    <s v="ORD00602"/>
    <x v="6"/>
    <x v="1"/>
    <n v="43852.34"/>
    <n v="3"/>
    <n v="131557.01999999999"/>
    <x v="280"/>
    <x v="5"/>
    <n v="4.2"/>
  </r>
  <r>
    <s v="ORD00603"/>
    <x v="16"/>
    <x v="4"/>
    <n v="23005.86"/>
    <n v="1"/>
    <n v="23005.86"/>
    <x v="100"/>
    <x v="4"/>
    <n v="4.8"/>
  </r>
  <r>
    <s v="ORD00604"/>
    <x v="6"/>
    <x v="1"/>
    <n v="48580.6"/>
    <n v="1"/>
    <n v="48580.6"/>
    <x v="39"/>
    <x v="1"/>
    <n v="3"/>
  </r>
  <r>
    <s v="ORD00605"/>
    <x v="2"/>
    <x v="2"/>
    <n v="10320.870000000001"/>
    <n v="5"/>
    <n v="51604.35"/>
    <x v="295"/>
    <x v="2"/>
    <n v="2.8"/>
  </r>
  <r>
    <s v="ORD00606"/>
    <x v="4"/>
    <x v="4"/>
    <n v="43149.24"/>
    <n v="1"/>
    <n v="43149.24"/>
    <x v="296"/>
    <x v="1"/>
    <n v="1.9"/>
  </r>
  <r>
    <s v="ORD00607"/>
    <x v="22"/>
    <x v="0"/>
    <n v="567.80999999999995"/>
    <n v="4"/>
    <n v="2271.2399999999998"/>
    <x v="297"/>
    <x v="2"/>
    <n v="4.5"/>
  </r>
  <r>
    <s v="ORD00608"/>
    <x v="13"/>
    <x v="0"/>
    <n v="6705.43"/>
    <n v="5"/>
    <n v="33527.15"/>
    <x v="186"/>
    <x v="2"/>
    <n v="4.5"/>
  </r>
  <r>
    <s v="ORD00609"/>
    <x v="15"/>
    <x v="1"/>
    <n v="29974.35"/>
    <n v="5"/>
    <n v="149871.75"/>
    <x v="116"/>
    <x v="2"/>
    <n v="3.1"/>
  </r>
  <r>
    <s v="ORD00610"/>
    <x v="9"/>
    <x v="3"/>
    <n v="5739.3"/>
    <n v="4"/>
    <n v="22957.200000000001"/>
    <x v="30"/>
    <x v="4"/>
    <n v="4.5999999999999996"/>
  </r>
  <r>
    <s v="ORD00611"/>
    <x v="1"/>
    <x v="1"/>
    <n v="21417.72"/>
    <n v="4"/>
    <n v="85670.88"/>
    <x v="298"/>
    <x v="0"/>
    <n v="4.5"/>
  </r>
  <r>
    <s v="ORD00612"/>
    <x v="7"/>
    <x v="4"/>
    <n v="25404.68"/>
    <n v="4"/>
    <n v="101618.72"/>
    <x v="111"/>
    <x v="4"/>
    <n v="4.5999999999999996"/>
  </r>
  <r>
    <s v="ORD00613"/>
    <x v="5"/>
    <x v="4"/>
    <n v="27582.01"/>
    <n v="2"/>
    <n v="55164.02"/>
    <x v="66"/>
    <x v="0"/>
    <n v="1.5"/>
  </r>
  <r>
    <s v="ORD00614"/>
    <x v="16"/>
    <x v="4"/>
    <n v="23584.89"/>
    <n v="3"/>
    <n v="70754.67"/>
    <x v="89"/>
    <x v="2"/>
    <n v="4.0999999999999996"/>
  </r>
  <r>
    <s v="ORD00615"/>
    <x v="0"/>
    <x v="0"/>
    <n v="24444.89"/>
    <n v="3"/>
    <n v="73334.67"/>
    <x v="299"/>
    <x v="2"/>
    <n v="1.2"/>
  </r>
  <r>
    <s v="ORD00616"/>
    <x v="24"/>
    <x v="1"/>
    <n v="8080.22"/>
    <n v="2"/>
    <n v="16160.44"/>
    <x v="213"/>
    <x v="0"/>
    <n v="3.6"/>
  </r>
  <r>
    <s v="ORD00617"/>
    <x v="11"/>
    <x v="2"/>
    <n v="27860.799999999999"/>
    <n v="2"/>
    <n v="55721.599999999999"/>
    <x v="90"/>
    <x v="4"/>
    <n v="2.6"/>
  </r>
  <r>
    <s v="ORD00618"/>
    <x v="21"/>
    <x v="0"/>
    <n v="30468.47"/>
    <n v="3"/>
    <n v="91405.41"/>
    <x v="33"/>
    <x v="4"/>
    <n v="1.7"/>
  </r>
  <r>
    <s v="ORD00619"/>
    <x v="11"/>
    <x v="2"/>
    <n v="7718.78"/>
    <n v="1"/>
    <n v="7718.78"/>
    <x v="166"/>
    <x v="0"/>
    <n v="1.1000000000000001"/>
  </r>
  <r>
    <s v="ORD00620"/>
    <x v="2"/>
    <x v="2"/>
    <n v="34866.42"/>
    <n v="1"/>
    <n v="34866.42"/>
    <x v="1"/>
    <x v="3"/>
    <n v="3.6"/>
  </r>
  <r>
    <s v="ORD00621"/>
    <x v="6"/>
    <x v="1"/>
    <n v="5369.5"/>
    <n v="1"/>
    <n v="5369.5"/>
    <x v="39"/>
    <x v="3"/>
    <n v="3.2"/>
  </r>
  <r>
    <s v="ORD00622"/>
    <x v="10"/>
    <x v="2"/>
    <n v="18338.759999999998"/>
    <n v="5"/>
    <n v="91693.8"/>
    <x v="40"/>
    <x v="2"/>
    <n v="4"/>
  </r>
  <r>
    <s v="ORD00623"/>
    <x v="20"/>
    <x v="3"/>
    <n v="48287.49"/>
    <n v="4"/>
    <n v="193149.96"/>
    <x v="43"/>
    <x v="1"/>
    <n v="1.1000000000000001"/>
  </r>
  <r>
    <s v="ORD00624"/>
    <x v="15"/>
    <x v="1"/>
    <n v="18161.009999999998"/>
    <n v="4"/>
    <n v="72644.039999999994"/>
    <x v="196"/>
    <x v="4"/>
    <n v="2.2999999999999998"/>
  </r>
  <r>
    <s v="ORD00625"/>
    <x v="1"/>
    <x v="1"/>
    <n v="21064.01"/>
    <n v="3"/>
    <n v="63192.03"/>
    <x v="90"/>
    <x v="5"/>
    <n v="1.9"/>
  </r>
  <r>
    <s v="ORD00626"/>
    <x v="21"/>
    <x v="0"/>
    <n v="8598.2199999999993"/>
    <n v="5"/>
    <n v="42991.1"/>
    <x v="197"/>
    <x v="1"/>
    <n v="1.4"/>
  </r>
  <r>
    <s v="ORD00627"/>
    <x v="3"/>
    <x v="3"/>
    <n v="27897.4"/>
    <n v="2"/>
    <n v="55794.8"/>
    <x v="206"/>
    <x v="3"/>
    <n v="1.8"/>
  </r>
  <r>
    <s v="ORD00628"/>
    <x v="11"/>
    <x v="2"/>
    <n v="3153.16"/>
    <n v="2"/>
    <n v="6306.32"/>
    <x v="222"/>
    <x v="5"/>
    <n v="4.4000000000000004"/>
  </r>
  <r>
    <s v="ORD00629"/>
    <x v="20"/>
    <x v="3"/>
    <n v="25634.9"/>
    <n v="1"/>
    <n v="25634.9"/>
    <x v="29"/>
    <x v="5"/>
    <n v="4.3"/>
  </r>
  <r>
    <s v="ORD00630"/>
    <x v="12"/>
    <x v="3"/>
    <n v="9427.83"/>
    <n v="3"/>
    <n v="28283.49"/>
    <x v="300"/>
    <x v="5"/>
    <n v="4.2"/>
  </r>
  <r>
    <s v="ORD00631"/>
    <x v="19"/>
    <x v="2"/>
    <n v="22564.13"/>
    <n v="1"/>
    <n v="22564.13"/>
    <x v="216"/>
    <x v="2"/>
    <n v="3.2"/>
  </r>
  <r>
    <s v="ORD00632"/>
    <x v="6"/>
    <x v="1"/>
    <n v="47288.95"/>
    <n v="1"/>
    <n v="47288.95"/>
    <x v="200"/>
    <x v="2"/>
    <n v="3.1"/>
  </r>
  <r>
    <s v="ORD00633"/>
    <x v="0"/>
    <x v="0"/>
    <n v="24537.79"/>
    <n v="3"/>
    <n v="73613.37"/>
    <x v="39"/>
    <x v="4"/>
    <n v="1.6"/>
  </r>
  <r>
    <s v="ORD00634"/>
    <x v="3"/>
    <x v="3"/>
    <n v="22226.76"/>
    <n v="5"/>
    <n v="111133.8"/>
    <x v="176"/>
    <x v="0"/>
    <n v="4.7"/>
  </r>
  <r>
    <s v="ORD00635"/>
    <x v="17"/>
    <x v="2"/>
    <n v="14103.34"/>
    <n v="2"/>
    <n v="28206.68"/>
    <x v="19"/>
    <x v="3"/>
    <n v="1.6"/>
  </r>
  <r>
    <s v="ORD00636"/>
    <x v="23"/>
    <x v="4"/>
    <n v="19376.32"/>
    <n v="1"/>
    <n v="19376.32"/>
    <x v="91"/>
    <x v="1"/>
    <n v="4.5"/>
  </r>
  <r>
    <s v="ORD00637"/>
    <x v="0"/>
    <x v="0"/>
    <n v="41619.15"/>
    <n v="1"/>
    <n v="41619.15"/>
    <x v="120"/>
    <x v="0"/>
    <n v="4.9000000000000004"/>
  </r>
  <r>
    <s v="ORD00638"/>
    <x v="4"/>
    <x v="4"/>
    <n v="14084.61"/>
    <n v="3"/>
    <n v="42253.83"/>
    <x v="181"/>
    <x v="2"/>
    <n v="4.9000000000000004"/>
  </r>
  <r>
    <s v="ORD00639"/>
    <x v="3"/>
    <x v="3"/>
    <n v="25935.66"/>
    <n v="5"/>
    <n v="129678.3"/>
    <x v="97"/>
    <x v="0"/>
    <n v="3.7"/>
  </r>
  <r>
    <s v="ORD00640"/>
    <x v="3"/>
    <x v="3"/>
    <n v="30657.64"/>
    <n v="5"/>
    <n v="153288.20000000001"/>
    <x v="72"/>
    <x v="5"/>
    <n v="4.8"/>
  </r>
  <r>
    <s v="ORD00641"/>
    <x v="24"/>
    <x v="1"/>
    <n v="13596.18"/>
    <n v="3"/>
    <n v="40788.54"/>
    <x v="296"/>
    <x v="4"/>
    <n v="2.9"/>
  </r>
  <r>
    <s v="ORD00642"/>
    <x v="17"/>
    <x v="2"/>
    <n v="28379.75"/>
    <n v="5"/>
    <n v="141898.75"/>
    <x v="74"/>
    <x v="3"/>
    <n v="4.4000000000000004"/>
  </r>
  <r>
    <s v="ORD00643"/>
    <x v="24"/>
    <x v="1"/>
    <n v="12422.09"/>
    <n v="2"/>
    <n v="24844.18"/>
    <x v="158"/>
    <x v="3"/>
    <n v="3.4"/>
  </r>
  <r>
    <s v="ORD00644"/>
    <x v="19"/>
    <x v="2"/>
    <n v="18747.939999999999"/>
    <n v="1"/>
    <n v="18747.939999999999"/>
    <x v="277"/>
    <x v="5"/>
    <n v="2.2000000000000002"/>
  </r>
  <r>
    <s v="ORD00645"/>
    <x v="3"/>
    <x v="3"/>
    <n v="35524.559999999998"/>
    <n v="1"/>
    <n v="35524.559999999998"/>
    <x v="301"/>
    <x v="1"/>
    <n v="2"/>
  </r>
  <r>
    <s v="ORD00646"/>
    <x v="15"/>
    <x v="1"/>
    <n v="36454.629999999997"/>
    <n v="1"/>
    <n v="36454.629999999997"/>
    <x v="211"/>
    <x v="1"/>
    <n v="4.3"/>
  </r>
  <r>
    <s v="ORD00647"/>
    <x v="18"/>
    <x v="3"/>
    <n v="23249.27"/>
    <n v="3"/>
    <n v="69747.81"/>
    <x v="228"/>
    <x v="4"/>
    <n v="2.2000000000000002"/>
  </r>
  <r>
    <s v="ORD00648"/>
    <x v="19"/>
    <x v="2"/>
    <n v="48842.53"/>
    <n v="1"/>
    <n v="48842.53"/>
    <x v="241"/>
    <x v="5"/>
    <n v="2.7"/>
  </r>
  <r>
    <s v="ORD00649"/>
    <x v="9"/>
    <x v="3"/>
    <n v="21881.01"/>
    <n v="1"/>
    <n v="21881.01"/>
    <x v="120"/>
    <x v="2"/>
    <n v="3.5"/>
  </r>
  <r>
    <s v="ORD00650"/>
    <x v="0"/>
    <x v="0"/>
    <n v="38964.36"/>
    <n v="5"/>
    <n v="194821.8"/>
    <x v="302"/>
    <x v="2"/>
    <n v="3.9"/>
  </r>
  <r>
    <s v="ORD00651"/>
    <x v="23"/>
    <x v="4"/>
    <n v="1435.38"/>
    <n v="4"/>
    <n v="5741.52"/>
    <x v="63"/>
    <x v="1"/>
    <n v="2"/>
  </r>
  <r>
    <s v="ORD00652"/>
    <x v="18"/>
    <x v="3"/>
    <n v="2536.16"/>
    <n v="5"/>
    <n v="12680.8"/>
    <x v="2"/>
    <x v="3"/>
    <n v="1.8"/>
  </r>
  <r>
    <s v="ORD00653"/>
    <x v="20"/>
    <x v="3"/>
    <n v="21992.38"/>
    <n v="5"/>
    <n v="109961.9"/>
    <x v="55"/>
    <x v="0"/>
    <n v="3.9"/>
  </r>
  <r>
    <s v="ORD00654"/>
    <x v="11"/>
    <x v="2"/>
    <n v="20194.2"/>
    <n v="2"/>
    <n v="40388.400000000001"/>
    <x v="152"/>
    <x v="0"/>
    <n v="3.1"/>
  </r>
  <r>
    <s v="ORD00655"/>
    <x v="8"/>
    <x v="1"/>
    <n v="18789.810000000001"/>
    <n v="3"/>
    <n v="56369.43"/>
    <x v="303"/>
    <x v="0"/>
    <n v="2"/>
  </r>
  <r>
    <s v="ORD00656"/>
    <x v="18"/>
    <x v="3"/>
    <n v="33027.629999999997"/>
    <n v="2"/>
    <n v="66055.259999999995"/>
    <x v="140"/>
    <x v="3"/>
    <n v="1.5"/>
  </r>
  <r>
    <s v="ORD00657"/>
    <x v="19"/>
    <x v="2"/>
    <n v="44953.24"/>
    <n v="5"/>
    <n v="224766.2"/>
    <x v="251"/>
    <x v="2"/>
    <n v="1.1000000000000001"/>
  </r>
  <r>
    <s v="ORD00658"/>
    <x v="8"/>
    <x v="1"/>
    <n v="47047.23"/>
    <n v="5"/>
    <n v="235236.15"/>
    <x v="304"/>
    <x v="2"/>
    <n v="3"/>
  </r>
  <r>
    <s v="ORD00659"/>
    <x v="20"/>
    <x v="3"/>
    <n v="34358.78"/>
    <n v="3"/>
    <n v="103076.34"/>
    <x v="228"/>
    <x v="5"/>
    <n v="2.4"/>
  </r>
  <r>
    <s v="ORD00660"/>
    <x v="11"/>
    <x v="2"/>
    <n v="12779.59"/>
    <n v="5"/>
    <n v="63897.95"/>
    <x v="21"/>
    <x v="4"/>
    <n v="2.8"/>
  </r>
  <r>
    <s v="ORD00661"/>
    <x v="14"/>
    <x v="0"/>
    <n v="30878.47"/>
    <n v="5"/>
    <n v="154392.35"/>
    <x v="150"/>
    <x v="1"/>
    <n v="2.5"/>
  </r>
  <r>
    <s v="ORD00662"/>
    <x v="2"/>
    <x v="2"/>
    <n v="24227.24"/>
    <n v="1"/>
    <n v="24227.24"/>
    <x v="305"/>
    <x v="0"/>
    <n v="2.7"/>
  </r>
  <r>
    <s v="ORD00663"/>
    <x v="1"/>
    <x v="1"/>
    <n v="15282.31"/>
    <n v="4"/>
    <n v="61129.24"/>
    <x v="110"/>
    <x v="5"/>
    <n v="2.1"/>
  </r>
  <r>
    <s v="ORD00664"/>
    <x v="11"/>
    <x v="2"/>
    <n v="46933.96"/>
    <n v="1"/>
    <n v="46933.96"/>
    <x v="133"/>
    <x v="0"/>
    <n v="2.5"/>
  </r>
  <r>
    <s v="ORD00665"/>
    <x v="10"/>
    <x v="2"/>
    <n v="14622.12"/>
    <n v="1"/>
    <n v="14622.12"/>
    <x v="57"/>
    <x v="4"/>
    <n v="4.9000000000000004"/>
  </r>
  <r>
    <s v="ORD00666"/>
    <x v="14"/>
    <x v="0"/>
    <n v="34830.28"/>
    <n v="4"/>
    <n v="139321.12"/>
    <x v="171"/>
    <x v="4"/>
    <n v="2.9"/>
  </r>
  <r>
    <s v="ORD00667"/>
    <x v="10"/>
    <x v="2"/>
    <n v="43118.19"/>
    <n v="5"/>
    <n v="215590.95"/>
    <x v="297"/>
    <x v="5"/>
    <n v="4"/>
  </r>
  <r>
    <s v="ORD00668"/>
    <x v="14"/>
    <x v="0"/>
    <n v="29885.360000000001"/>
    <n v="3"/>
    <n v="89656.08"/>
    <x v="93"/>
    <x v="0"/>
    <n v="4.0999999999999996"/>
  </r>
  <r>
    <s v="ORD00669"/>
    <x v="0"/>
    <x v="0"/>
    <n v="7728.33"/>
    <n v="5"/>
    <n v="38641.65"/>
    <x v="78"/>
    <x v="3"/>
    <n v="3.9"/>
  </r>
  <r>
    <s v="ORD00670"/>
    <x v="4"/>
    <x v="4"/>
    <n v="36096.74"/>
    <n v="5"/>
    <n v="180483.7"/>
    <x v="18"/>
    <x v="5"/>
    <n v="1.8"/>
  </r>
  <r>
    <s v="ORD00671"/>
    <x v="15"/>
    <x v="1"/>
    <n v="19275.66"/>
    <n v="4"/>
    <n v="77102.64"/>
    <x v="239"/>
    <x v="5"/>
    <n v="1.8"/>
  </r>
  <r>
    <s v="ORD00672"/>
    <x v="23"/>
    <x v="4"/>
    <n v="15387.59"/>
    <n v="4"/>
    <n v="61550.36"/>
    <x v="289"/>
    <x v="2"/>
    <n v="1"/>
  </r>
  <r>
    <s v="ORD00673"/>
    <x v="12"/>
    <x v="3"/>
    <n v="23806.639999999999"/>
    <n v="1"/>
    <n v="23806.639999999999"/>
    <x v="276"/>
    <x v="0"/>
    <n v="2.5"/>
  </r>
  <r>
    <s v="ORD00674"/>
    <x v="17"/>
    <x v="2"/>
    <n v="28568.97"/>
    <n v="1"/>
    <n v="28568.97"/>
    <x v="205"/>
    <x v="0"/>
    <n v="1"/>
  </r>
  <r>
    <s v="ORD00675"/>
    <x v="18"/>
    <x v="3"/>
    <n v="40753.519999999997"/>
    <n v="1"/>
    <n v="40753.519999999997"/>
    <x v="305"/>
    <x v="0"/>
    <n v="4.2"/>
  </r>
  <r>
    <s v="ORD00676"/>
    <x v="9"/>
    <x v="3"/>
    <n v="38571.81"/>
    <n v="4"/>
    <n v="154287.24"/>
    <x v="306"/>
    <x v="3"/>
    <n v="1.2"/>
  </r>
  <r>
    <s v="ORD00677"/>
    <x v="12"/>
    <x v="3"/>
    <n v="25161.91"/>
    <n v="5"/>
    <n v="125809.55"/>
    <x v="93"/>
    <x v="2"/>
    <n v="3.4"/>
  </r>
  <r>
    <s v="ORD00678"/>
    <x v="10"/>
    <x v="2"/>
    <n v="12124.19"/>
    <n v="3"/>
    <n v="36372.57"/>
    <x v="126"/>
    <x v="0"/>
    <n v="4.7"/>
  </r>
  <r>
    <s v="ORD00679"/>
    <x v="0"/>
    <x v="0"/>
    <n v="2013.64"/>
    <n v="3"/>
    <n v="6040.92"/>
    <x v="261"/>
    <x v="1"/>
    <n v="3.8"/>
  </r>
  <r>
    <s v="ORD00680"/>
    <x v="16"/>
    <x v="4"/>
    <n v="6002.25"/>
    <n v="3"/>
    <n v="18006.75"/>
    <x v="49"/>
    <x v="3"/>
    <n v="3.5"/>
  </r>
  <r>
    <s v="ORD00681"/>
    <x v="22"/>
    <x v="0"/>
    <n v="31332.42"/>
    <n v="4"/>
    <n v="125329.68"/>
    <x v="307"/>
    <x v="4"/>
    <n v="1.4"/>
  </r>
  <r>
    <s v="ORD00682"/>
    <x v="16"/>
    <x v="4"/>
    <n v="17539.189999999999"/>
    <n v="1"/>
    <n v="17539.189999999999"/>
    <x v="89"/>
    <x v="2"/>
    <n v="3.9"/>
  </r>
  <r>
    <s v="ORD00683"/>
    <x v="21"/>
    <x v="0"/>
    <n v="14865.47"/>
    <n v="2"/>
    <n v="29730.94"/>
    <x v="153"/>
    <x v="1"/>
    <n v="1.6"/>
  </r>
  <r>
    <s v="ORD00684"/>
    <x v="24"/>
    <x v="1"/>
    <n v="48130.6"/>
    <n v="5"/>
    <n v="240653"/>
    <x v="81"/>
    <x v="1"/>
    <n v="4"/>
  </r>
  <r>
    <s v="ORD00685"/>
    <x v="0"/>
    <x v="0"/>
    <n v="8970.27"/>
    <n v="3"/>
    <n v="26910.81"/>
    <x v="211"/>
    <x v="3"/>
    <n v="1.1000000000000001"/>
  </r>
  <r>
    <s v="ORD00686"/>
    <x v="20"/>
    <x v="3"/>
    <n v="14359.73"/>
    <n v="2"/>
    <n v="28719.46"/>
    <x v="42"/>
    <x v="1"/>
    <n v="4.4000000000000004"/>
  </r>
  <r>
    <s v="ORD00687"/>
    <x v="10"/>
    <x v="2"/>
    <n v="17009.73"/>
    <n v="4"/>
    <n v="68038.92"/>
    <x v="308"/>
    <x v="0"/>
    <n v="3.7"/>
  </r>
  <r>
    <s v="ORD00688"/>
    <x v="15"/>
    <x v="1"/>
    <n v="10385.24"/>
    <n v="2"/>
    <n v="20770.48"/>
    <x v="15"/>
    <x v="1"/>
    <n v="4.7"/>
  </r>
  <r>
    <s v="ORD00689"/>
    <x v="9"/>
    <x v="3"/>
    <n v="28261.1"/>
    <n v="2"/>
    <n v="56522.2"/>
    <x v="309"/>
    <x v="2"/>
    <n v="4.3"/>
  </r>
  <r>
    <s v="ORD00690"/>
    <x v="1"/>
    <x v="1"/>
    <n v="23320.94"/>
    <n v="2"/>
    <n v="46641.88"/>
    <x v="108"/>
    <x v="2"/>
    <n v="3.2"/>
  </r>
  <r>
    <s v="ORD00691"/>
    <x v="15"/>
    <x v="1"/>
    <n v="16038"/>
    <n v="5"/>
    <n v="80190"/>
    <x v="130"/>
    <x v="4"/>
    <n v="2.2999999999999998"/>
  </r>
  <r>
    <s v="ORD00692"/>
    <x v="6"/>
    <x v="1"/>
    <n v="43719.71"/>
    <n v="5"/>
    <n v="218598.55"/>
    <x v="308"/>
    <x v="1"/>
    <n v="3.4"/>
  </r>
  <r>
    <s v="ORD00693"/>
    <x v="14"/>
    <x v="0"/>
    <n v="19669.48"/>
    <n v="2"/>
    <n v="39338.959999999999"/>
    <x v="288"/>
    <x v="2"/>
    <n v="2"/>
  </r>
  <r>
    <s v="ORD00694"/>
    <x v="11"/>
    <x v="2"/>
    <n v="27396.01"/>
    <n v="1"/>
    <n v="27396.01"/>
    <x v="232"/>
    <x v="3"/>
    <n v="4.9000000000000004"/>
  </r>
  <r>
    <s v="ORD00695"/>
    <x v="8"/>
    <x v="1"/>
    <n v="13763.17"/>
    <n v="5"/>
    <n v="68815.850000000006"/>
    <x v="188"/>
    <x v="2"/>
    <n v="3.6"/>
  </r>
  <r>
    <s v="ORD00696"/>
    <x v="4"/>
    <x v="4"/>
    <n v="6421.63"/>
    <n v="2"/>
    <n v="12843.26"/>
    <x v="139"/>
    <x v="5"/>
    <n v="1.5"/>
  </r>
  <r>
    <s v="ORD00697"/>
    <x v="22"/>
    <x v="0"/>
    <n v="4617.2"/>
    <n v="4"/>
    <n v="18468.8"/>
    <x v="20"/>
    <x v="1"/>
    <n v="3.8"/>
  </r>
  <r>
    <s v="ORD00698"/>
    <x v="15"/>
    <x v="1"/>
    <n v="6022.31"/>
    <n v="5"/>
    <n v="30111.55"/>
    <x v="193"/>
    <x v="4"/>
    <n v="3.5"/>
  </r>
  <r>
    <s v="ORD00699"/>
    <x v="2"/>
    <x v="2"/>
    <n v="38968.519999999997"/>
    <n v="4"/>
    <n v="155874.07999999999"/>
    <x v="177"/>
    <x v="5"/>
    <n v="3.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9">
  <r>
    <x v="0"/>
    <x v="0"/>
    <x v="0"/>
    <n v="49069.56"/>
    <x v="0"/>
    <n v="98139.12"/>
    <x v="0"/>
    <x v="0"/>
    <n v="3.5"/>
  </r>
  <r>
    <x v="1"/>
    <x v="1"/>
    <x v="1"/>
    <n v="12755.85"/>
    <x v="1"/>
    <n v="51023.4"/>
    <x v="1"/>
    <x v="1"/>
    <n v="3.9"/>
  </r>
  <r>
    <x v="2"/>
    <x v="2"/>
    <x v="2"/>
    <n v="11092.19"/>
    <x v="1"/>
    <n v="44368.76"/>
    <x v="2"/>
    <x v="0"/>
    <n v="4.4000000000000004"/>
  </r>
  <r>
    <x v="3"/>
    <x v="3"/>
    <x v="3"/>
    <n v="32657.81"/>
    <x v="2"/>
    <n v="32657.81"/>
    <x v="3"/>
    <x v="0"/>
    <n v="3.2"/>
  </r>
  <r>
    <x v="4"/>
    <x v="4"/>
    <x v="4"/>
    <n v="26590.080000000002"/>
    <x v="3"/>
    <n v="79770.240000000005"/>
    <x v="4"/>
    <x v="1"/>
    <n v="3.1"/>
  </r>
  <r>
    <x v="5"/>
    <x v="5"/>
    <x v="4"/>
    <n v="10475.030000000001"/>
    <x v="0"/>
    <n v="20950.060000000001"/>
    <x v="5"/>
    <x v="2"/>
    <n v="1.7"/>
  </r>
  <r>
    <x v="6"/>
    <x v="6"/>
    <x v="1"/>
    <n v="38647.72"/>
    <x v="3"/>
    <n v="115943.16"/>
    <x v="6"/>
    <x v="2"/>
    <n v="2"/>
  </r>
  <r>
    <x v="7"/>
    <x v="7"/>
    <x v="4"/>
    <n v="24818.59"/>
    <x v="3"/>
    <n v="74455.77"/>
    <x v="4"/>
    <x v="0"/>
    <n v="2.4"/>
  </r>
  <r>
    <x v="8"/>
    <x v="8"/>
    <x v="1"/>
    <n v="1987.39"/>
    <x v="0"/>
    <n v="3974.78"/>
    <x v="7"/>
    <x v="0"/>
    <n v="2.6"/>
  </r>
  <r>
    <x v="9"/>
    <x v="9"/>
    <x v="3"/>
    <n v="26876.51"/>
    <x v="0"/>
    <n v="53753.02"/>
    <x v="8"/>
    <x v="0"/>
    <n v="4"/>
  </r>
  <r>
    <x v="10"/>
    <x v="10"/>
    <x v="2"/>
    <n v="46409.57"/>
    <x v="4"/>
    <n v="232047.85"/>
    <x v="9"/>
    <x v="1"/>
    <n v="2.2999999999999998"/>
  </r>
  <r>
    <x v="11"/>
    <x v="11"/>
    <x v="2"/>
    <n v="48780.78"/>
    <x v="4"/>
    <n v="243903.9"/>
    <x v="10"/>
    <x v="1"/>
    <n v="1.3"/>
  </r>
  <r>
    <x v="12"/>
    <x v="0"/>
    <x v="0"/>
    <n v="6670.82"/>
    <x v="4"/>
    <n v="33354.1"/>
    <x v="11"/>
    <x v="3"/>
    <n v="1.2"/>
  </r>
  <r>
    <x v="13"/>
    <x v="12"/>
    <x v="3"/>
    <n v="10826.05"/>
    <x v="2"/>
    <n v="10826.05"/>
    <x v="12"/>
    <x v="2"/>
    <n v="3.7"/>
  </r>
  <r>
    <x v="14"/>
    <x v="13"/>
    <x v="0"/>
    <n v="6839.1"/>
    <x v="2"/>
    <n v="6839.1"/>
    <x v="0"/>
    <x v="4"/>
    <n v="1.6"/>
  </r>
  <r>
    <x v="15"/>
    <x v="5"/>
    <x v="4"/>
    <n v="18197.89"/>
    <x v="4"/>
    <n v="90989.45"/>
    <x v="13"/>
    <x v="0"/>
    <n v="1.6"/>
  </r>
  <r>
    <x v="16"/>
    <x v="14"/>
    <x v="0"/>
    <n v="20817.46"/>
    <x v="0"/>
    <n v="41634.92"/>
    <x v="13"/>
    <x v="0"/>
    <n v="2.2999999999999998"/>
  </r>
  <r>
    <x v="17"/>
    <x v="10"/>
    <x v="2"/>
    <n v="44061.25"/>
    <x v="1"/>
    <n v="176245"/>
    <x v="14"/>
    <x v="3"/>
    <n v="2.5"/>
  </r>
  <r>
    <x v="18"/>
    <x v="14"/>
    <x v="0"/>
    <n v="4398.59"/>
    <x v="4"/>
    <n v="21992.95"/>
    <x v="15"/>
    <x v="2"/>
    <n v="4"/>
  </r>
  <r>
    <x v="19"/>
    <x v="15"/>
    <x v="1"/>
    <n v="32565.77"/>
    <x v="4"/>
    <n v="162828.85"/>
    <x v="16"/>
    <x v="3"/>
    <n v="4.4000000000000004"/>
  </r>
  <r>
    <x v="20"/>
    <x v="4"/>
    <x v="4"/>
    <n v="47529.36"/>
    <x v="2"/>
    <n v="47529.36"/>
    <x v="17"/>
    <x v="5"/>
    <n v="4.5"/>
  </r>
  <r>
    <x v="21"/>
    <x v="1"/>
    <x v="1"/>
    <n v="37129.730000000003"/>
    <x v="3"/>
    <n v="111389.19"/>
    <x v="18"/>
    <x v="2"/>
    <n v="4.3"/>
  </r>
  <r>
    <x v="22"/>
    <x v="0"/>
    <x v="0"/>
    <n v="48258.19"/>
    <x v="1"/>
    <n v="193032.76"/>
    <x v="19"/>
    <x v="1"/>
    <n v="1.6"/>
  </r>
  <r>
    <x v="23"/>
    <x v="16"/>
    <x v="4"/>
    <n v="32505.96"/>
    <x v="2"/>
    <n v="32505.96"/>
    <x v="20"/>
    <x v="2"/>
    <n v="2.8"/>
  </r>
  <r>
    <x v="24"/>
    <x v="4"/>
    <x v="4"/>
    <n v="4165.6400000000003"/>
    <x v="0"/>
    <n v="8331.2800000000007"/>
    <x v="21"/>
    <x v="3"/>
    <n v="1.1000000000000001"/>
  </r>
  <r>
    <x v="25"/>
    <x v="15"/>
    <x v="1"/>
    <n v="2053.11"/>
    <x v="1"/>
    <n v="8212.44"/>
    <x v="22"/>
    <x v="3"/>
    <n v="3.4"/>
  </r>
  <r>
    <x v="26"/>
    <x v="1"/>
    <x v="1"/>
    <n v="38927.620000000003"/>
    <x v="1"/>
    <n v="155710.48000000001"/>
    <x v="23"/>
    <x v="2"/>
    <n v="2.5"/>
  </r>
  <r>
    <x v="27"/>
    <x v="5"/>
    <x v="4"/>
    <n v="28978.47"/>
    <x v="1"/>
    <n v="115913.88"/>
    <x v="24"/>
    <x v="1"/>
    <n v="2.2999999999999998"/>
  </r>
  <r>
    <x v="28"/>
    <x v="11"/>
    <x v="2"/>
    <n v="21293.42"/>
    <x v="4"/>
    <n v="106467.1"/>
    <x v="25"/>
    <x v="2"/>
    <n v="2.2000000000000002"/>
  </r>
  <r>
    <x v="29"/>
    <x v="11"/>
    <x v="2"/>
    <n v="49097.01"/>
    <x v="1"/>
    <n v="196388.04"/>
    <x v="26"/>
    <x v="4"/>
    <n v="3.7"/>
  </r>
  <r>
    <x v="30"/>
    <x v="10"/>
    <x v="2"/>
    <n v="47651.19"/>
    <x v="2"/>
    <n v="47651.19"/>
    <x v="27"/>
    <x v="5"/>
    <n v="3.6"/>
  </r>
  <r>
    <x v="31"/>
    <x v="17"/>
    <x v="2"/>
    <n v="15046.01"/>
    <x v="4"/>
    <n v="75230.05"/>
    <x v="28"/>
    <x v="3"/>
    <n v="1.1000000000000001"/>
  </r>
  <r>
    <x v="32"/>
    <x v="18"/>
    <x v="3"/>
    <n v="36980.1"/>
    <x v="3"/>
    <n v="110940.3"/>
    <x v="29"/>
    <x v="3"/>
    <n v="3.2"/>
  </r>
  <r>
    <x v="33"/>
    <x v="7"/>
    <x v="4"/>
    <n v="38144.67"/>
    <x v="0"/>
    <n v="76289.34"/>
    <x v="30"/>
    <x v="5"/>
    <n v="3.1"/>
  </r>
  <r>
    <x v="34"/>
    <x v="18"/>
    <x v="3"/>
    <n v="49355.45"/>
    <x v="0"/>
    <n v="98710.9"/>
    <x v="31"/>
    <x v="3"/>
    <n v="3.5"/>
  </r>
  <r>
    <x v="35"/>
    <x v="19"/>
    <x v="2"/>
    <n v="12945.96"/>
    <x v="3"/>
    <n v="38837.879999999997"/>
    <x v="32"/>
    <x v="2"/>
    <n v="1.4"/>
  </r>
  <r>
    <x v="36"/>
    <x v="10"/>
    <x v="2"/>
    <n v="34927.79"/>
    <x v="1"/>
    <n v="139711.16"/>
    <x v="33"/>
    <x v="4"/>
    <n v="1.1000000000000001"/>
  </r>
  <r>
    <x v="37"/>
    <x v="7"/>
    <x v="4"/>
    <n v="3677.4"/>
    <x v="3"/>
    <n v="11032.2"/>
    <x v="34"/>
    <x v="1"/>
    <n v="3.7"/>
  </r>
  <r>
    <x v="38"/>
    <x v="13"/>
    <x v="0"/>
    <n v="37004.54"/>
    <x v="1"/>
    <n v="148018.16"/>
    <x v="35"/>
    <x v="0"/>
    <n v="4"/>
  </r>
  <r>
    <x v="39"/>
    <x v="14"/>
    <x v="0"/>
    <n v="27961.78"/>
    <x v="4"/>
    <n v="139808.9"/>
    <x v="11"/>
    <x v="5"/>
    <n v="4"/>
  </r>
  <r>
    <x v="40"/>
    <x v="13"/>
    <x v="0"/>
    <n v="2655.8"/>
    <x v="0"/>
    <n v="5311.6"/>
    <x v="36"/>
    <x v="5"/>
    <n v="3.7"/>
  </r>
  <r>
    <x v="41"/>
    <x v="20"/>
    <x v="3"/>
    <n v="965.51"/>
    <x v="1"/>
    <n v="3862.04"/>
    <x v="37"/>
    <x v="3"/>
    <n v="3.5"/>
  </r>
  <r>
    <x v="42"/>
    <x v="16"/>
    <x v="4"/>
    <n v="2980.08"/>
    <x v="3"/>
    <n v="8940.24"/>
    <x v="38"/>
    <x v="5"/>
    <n v="4.2"/>
  </r>
  <r>
    <x v="43"/>
    <x v="5"/>
    <x v="4"/>
    <n v="8598.58"/>
    <x v="2"/>
    <n v="8598.58"/>
    <x v="39"/>
    <x v="0"/>
    <n v="1.1000000000000001"/>
  </r>
  <r>
    <x v="44"/>
    <x v="19"/>
    <x v="2"/>
    <n v="31850.15"/>
    <x v="0"/>
    <n v="63700.3"/>
    <x v="27"/>
    <x v="5"/>
    <n v="2.8"/>
  </r>
  <r>
    <x v="45"/>
    <x v="3"/>
    <x v="3"/>
    <n v="33443.32"/>
    <x v="4"/>
    <n v="167216.6"/>
    <x v="40"/>
    <x v="1"/>
    <n v="2.4"/>
  </r>
  <r>
    <x v="46"/>
    <x v="8"/>
    <x v="1"/>
    <n v="29592.5"/>
    <x v="4"/>
    <n v="147962.5"/>
    <x v="41"/>
    <x v="5"/>
    <n v="4.7"/>
  </r>
  <r>
    <x v="47"/>
    <x v="17"/>
    <x v="2"/>
    <n v="11187.38"/>
    <x v="1"/>
    <n v="44749.52"/>
    <x v="42"/>
    <x v="2"/>
    <n v="2.2999999999999998"/>
  </r>
  <r>
    <x v="48"/>
    <x v="16"/>
    <x v="4"/>
    <n v="23898.58"/>
    <x v="4"/>
    <n v="119492.9"/>
    <x v="43"/>
    <x v="4"/>
    <n v="3.3"/>
  </r>
  <r>
    <x v="49"/>
    <x v="13"/>
    <x v="0"/>
    <n v="1391.49"/>
    <x v="1"/>
    <n v="5565.96"/>
    <x v="44"/>
    <x v="4"/>
    <n v="4.5"/>
  </r>
  <r>
    <x v="50"/>
    <x v="1"/>
    <x v="1"/>
    <n v="18607.689999999999"/>
    <x v="4"/>
    <n v="93038.45"/>
    <x v="45"/>
    <x v="3"/>
    <n v="2.4"/>
  </r>
  <r>
    <x v="51"/>
    <x v="21"/>
    <x v="0"/>
    <n v="46224.88"/>
    <x v="3"/>
    <n v="138674.64000000001"/>
    <x v="46"/>
    <x v="4"/>
    <n v="4.0999999999999996"/>
  </r>
  <r>
    <x v="52"/>
    <x v="9"/>
    <x v="3"/>
    <n v="11864.13"/>
    <x v="4"/>
    <n v="59320.65"/>
    <x v="47"/>
    <x v="0"/>
    <n v="1.3"/>
  </r>
  <r>
    <x v="53"/>
    <x v="13"/>
    <x v="0"/>
    <n v="7757.2"/>
    <x v="4"/>
    <n v="38786"/>
    <x v="48"/>
    <x v="2"/>
    <n v="2.2000000000000002"/>
  </r>
  <r>
    <x v="54"/>
    <x v="3"/>
    <x v="3"/>
    <n v="29745"/>
    <x v="2"/>
    <n v="29745"/>
    <x v="49"/>
    <x v="1"/>
    <n v="3.6"/>
  </r>
  <r>
    <x v="55"/>
    <x v="1"/>
    <x v="1"/>
    <n v="39176.54"/>
    <x v="4"/>
    <n v="195882.7"/>
    <x v="50"/>
    <x v="5"/>
    <n v="4.0999999999999996"/>
  </r>
  <r>
    <x v="56"/>
    <x v="1"/>
    <x v="1"/>
    <n v="18075.189999999999"/>
    <x v="4"/>
    <n v="90375.95"/>
    <x v="51"/>
    <x v="0"/>
    <n v="1.7"/>
  </r>
  <r>
    <x v="57"/>
    <x v="22"/>
    <x v="0"/>
    <n v="18830.59"/>
    <x v="1"/>
    <n v="75322.36"/>
    <x v="52"/>
    <x v="5"/>
    <n v="3.6"/>
  </r>
  <r>
    <x v="58"/>
    <x v="20"/>
    <x v="3"/>
    <n v="38476.480000000003"/>
    <x v="1"/>
    <n v="153905.92000000001"/>
    <x v="53"/>
    <x v="4"/>
    <n v="2"/>
  </r>
  <r>
    <x v="59"/>
    <x v="18"/>
    <x v="3"/>
    <n v="27120.36"/>
    <x v="0"/>
    <n v="54240.72"/>
    <x v="54"/>
    <x v="4"/>
    <n v="3.8"/>
  </r>
  <r>
    <x v="60"/>
    <x v="14"/>
    <x v="0"/>
    <n v="31627"/>
    <x v="4"/>
    <n v="158135"/>
    <x v="55"/>
    <x v="0"/>
    <n v="3.1"/>
  </r>
  <r>
    <x v="61"/>
    <x v="13"/>
    <x v="0"/>
    <n v="14505.79"/>
    <x v="3"/>
    <n v="43517.37"/>
    <x v="56"/>
    <x v="1"/>
    <n v="3.9"/>
  </r>
  <r>
    <x v="62"/>
    <x v="3"/>
    <x v="3"/>
    <n v="15229.67"/>
    <x v="3"/>
    <n v="45689.01"/>
    <x v="24"/>
    <x v="4"/>
    <n v="2.7"/>
  </r>
  <r>
    <x v="63"/>
    <x v="7"/>
    <x v="4"/>
    <n v="2158.12"/>
    <x v="3"/>
    <n v="6474.36"/>
    <x v="57"/>
    <x v="3"/>
    <n v="3.4"/>
  </r>
  <r>
    <x v="64"/>
    <x v="11"/>
    <x v="2"/>
    <n v="11106.19"/>
    <x v="0"/>
    <n v="22212.38"/>
    <x v="58"/>
    <x v="2"/>
    <n v="1.1000000000000001"/>
  </r>
  <r>
    <x v="65"/>
    <x v="0"/>
    <x v="0"/>
    <n v="21690.55"/>
    <x v="0"/>
    <n v="43381.1"/>
    <x v="43"/>
    <x v="4"/>
    <n v="1.9"/>
  </r>
  <r>
    <x v="66"/>
    <x v="17"/>
    <x v="2"/>
    <n v="4225.6899999999996"/>
    <x v="1"/>
    <n v="16902.759999999998"/>
    <x v="59"/>
    <x v="4"/>
    <n v="2.5"/>
  </r>
  <r>
    <x v="67"/>
    <x v="3"/>
    <x v="3"/>
    <n v="23621.02"/>
    <x v="2"/>
    <n v="23621.02"/>
    <x v="60"/>
    <x v="2"/>
    <n v="4.7"/>
  </r>
  <r>
    <x v="68"/>
    <x v="0"/>
    <x v="0"/>
    <n v="38937.919999999998"/>
    <x v="3"/>
    <n v="116813.75999999999"/>
    <x v="61"/>
    <x v="4"/>
    <n v="3.4"/>
  </r>
  <r>
    <x v="69"/>
    <x v="4"/>
    <x v="4"/>
    <n v="2707.97"/>
    <x v="2"/>
    <n v="2707.97"/>
    <x v="62"/>
    <x v="5"/>
    <n v="1.2"/>
  </r>
  <r>
    <x v="70"/>
    <x v="2"/>
    <x v="2"/>
    <n v="23715.42"/>
    <x v="1"/>
    <n v="94861.68"/>
    <x v="63"/>
    <x v="3"/>
    <n v="2"/>
  </r>
  <r>
    <x v="71"/>
    <x v="9"/>
    <x v="3"/>
    <n v="9083.5"/>
    <x v="0"/>
    <n v="18167"/>
    <x v="64"/>
    <x v="1"/>
    <n v="1.8"/>
  </r>
  <r>
    <x v="72"/>
    <x v="11"/>
    <x v="2"/>
    <n v="26379.35"/>
    <x v="1"/>
    <n v="105517.4"/>
    <x v="65"/>
    <x v="1"/>
    <n v="3"/>
  </r>
  <r>
    <x v="73"/>
    <x v="8"/>
    <x v="1"/>
    <n v="34023.96"/>
    <x v="3"/>
    <n v="102071.88"/>
    <x v="66"/>
    <x v="4"/>
    <n v="4.5999999999999996"/>
  </r>
  <r>
    <x v="74"/>
    <x v="6"/>
    <x v="1"/>
    <n v="1542.1"/>
    <x v="1"/>
    <n v="6168.4"/>
    <x v="67"/>
    <x v="4"/>
    <n v="1"/>
  </r>
  <r>
    <x v="75"/>
    <x v="21"/>
    <x v="0"/>
    <n v="42981.08"/>
    <x v="3"/>
    <n v="128943.24"/>
    <x v="68"/>
    <x v="3"/>
    <n v="3.8"/>
  </r>
  <r>
    <x v="76"/>
    <x v="23"/>
    <x v="4"/>
    <n v="46338.29"/>
    <x v="4"/>
    <n v="231691.45"/>
    <x v="15"/>
    <x v="3"/>
    <n v="3.4"/>
  </r>
  <r>
    <x v="77"/>
    <x v="20"/>
    <x v="3"/>
    <n v="34161.440000000002"/>
    <x v="2"/>
    <n v="34161.440000000002"/>
    <x v="69"/>
    <x v="2"/>
    <n v="2.4"/>
  </r>
  <r>
    <x v="78"/>
    <x v="11"/>
    <x v="2"/>
    <n v="21317.31"/>
    <x v="4"/>
    <n v="106586.55"/>
    <x v="70"/>
    <x v="4"/>
    <n v="4"/>
  </r>
  <r>
    <x v="79"/>
    <x v="2"/>
    <x v="2"/>
    <n v="46011.839999999997"/>
    <x v="1"/>
    <n v="184047.35999999999"/>
    <x v="31"/>
    <x v="3"/>
    <n v="3.3"/>
  </r>
  <r>
    <x v="80"/>
    <x v="10"/>
    <x v="2"/>
    <n v="2097.9899999999998"/>
    <x v="2"/>
    <n v="2097.9899999999998"/>
    <x v="71"/>
    <x v="0"/>
    <n v="3.2"/>
  </r>
  <r>
    <x v="81"/>
    <x v="12"/>
    <x v="3"/>
    <n v="17104.91"/>
    <x v="3"/>
    <n v="51314.73"/>
    <x v="72"/>
    <x v="4"/>
    <n v="2.7"/>
  </r>
  <r>
    <x v="82"/>
    <x v="23"/>
    <x v="4"/>
    <n v="29326.6"/>
    <x v="3"/>
    <n v="87979.8"/>
    <x v="73"/>
    <x v="4"/>
    <n v="4.9000000000000004"/>
  </r>
  <r>
    <x v="83"/>
    <x v="20"/>
    <x v="3"/>
    <n v="28892.73"/>
    <x v="1"/>
    <n v="115570.92"/>
    <x v="47"/>
    <x v="3"/>
    <n v="1.3"/>
  </r>
  <r>
    <x v="84"/>
    <x v="9"/>
    <x v="3"/>
    <n v="35033.120000000003"/>
    <x v="1"/>
    <n v="140132.48000000001"/>
    <x v="74"/>
    <x v="1"/>
    <n v="4.7"/>
  </r>
  <r>
    <x v="85"/>
    <x v="1"/>
    <x v="1"/>
    <n v="40069.300000000003"/>
    <x v="3"/>
    <n v="120207.9"/>
    <x v="75"/>
    <x v="0"/>
    <n v="2.4"/>
  </r>
  <r>
    <x v="86"/>
    <x v="13"/>
    <x v="0"/>
    <n v="20613.14"/>
    <x v="1"/>
    <n v="82452.56"/>
    <x v="76"/>
    <x v="1"/>
    <n v="3.4"/>
  </r>
  <r>
    <x v="87"/>
    <x v="4"/>
    <x v="4"/>
    <n v="3432"/>
    <x v="4"/>
    <n v="17160"/>
    <x v="77"/>
    <x v="4"/>
    <n v="3.4"/>
  </r>
  <r>
    <x v="88"/>
    <x v="19"/>
    <x v="2"/>
    <n v="25752.65"/>
    <x v="3"/>
    <n v="77257.95"/>
    <x v="78"/>
    <x v="5"/>
    <n v="2.5"/>
  </r>
  <r>
    <x v="89"/>
    <x v="3"/>
    <x v="3"/>
    <n v="30238.47"/>
    <x v="0"/>
    <n v="60476.94"/>
    <x v="79"/>
    <x v="5"/>
    <n v="4"/>
  </r>
  <r>
    <x v="90"/>
    <x v="16"/>
    <x v="4"/>
    <n v="34293.379999999997"/>
    <x v="1"/>
    <n v="137173.51999999999"/>
    <x v="80"/>
    <x v="5"/>
    <n v="4.4000000000000004"/>
  </r>
  <r>
    <x v="91"/>
    <x v="10"/>
    <x v="2"/>
    <n v="19498.32"/>
    <x v="0"/>
    <n v="38996.639999999999"/>
    <x v="81"/>
    <x v="4"/>
    <n v="3.6"/>
  </r>
  <r>
    <x v="92"/>
    <x v="15"/>
    <x v="1"/>
    <n v="39355.589999999997"/>
    <x v="2"/>
    <n v="39355.589999999997"/>
    <x v="5"/>
    <x v="2"/>
    <n v="2.9"/>
  </r>
  <r>
    <x v="93"/>
    <x v="14"/>
    <x v="0"/>
    <n v="26575.86"/>
    <x v="0"/>
    <n v="53151.72"/>
    <x v="82"/>
    <x v="2"/>
    <n v="2"/>
  </r>
  <r>
    <x v="94"/>
    <x v="20"/>
    <x v="3"/>
    <n v="12506.31"/>
    <x v="3"/>
    <n v="37518.93"/>
    <x v="83"/>
    <x v="1"/>
    <n v="1.4"/>
  </r>
  <r>
    <x v="95"/>
    <x v="15"/>
    <x v="1"/>
    <n v="19180.77"/>
    <x v="3"/>
    <n v="57542.31"/>
    <x v="84"/>
    <x v="2"/>
    <n v="3.9"/>
  </r>
  <r>
    <x v="96"/>
    <x v="16"/>
    <x v="4"/>
    <n v="8877.51"/>
    <x v="4"/>
    <n v="44387.55"/>
    <x v="85"/>
    <x v="1"/>
    <n v="2.5"/>
  </r>
  <r>
    <x v="97"/>
    <x v="6"/>
    <x v="1"/>
    <n v="32348.92"/>
    <x v="0"/>
    <n v="64697.84"/>
    <x v="86"/>
    <x v="4"/>
    <n v="3.1"/>
  </r>
  <r>
    <x v="98"/>
    <x v="3"/>
    <x v="3"/>
    <n v="19375.759999999998"/>
    <x v="0"/>
    <n v="38751.519999999997"/>
    <x v="87"/>
    <x v="4"/>
    <n v="2.1"/>
  </r>
  <r>
    <x v="99"/>
    <x v="0"/>
    <x v="0"/>
    <n v="48157.93"/>
    <x v="2"/>
    <n v="48157.93"/>
    <x v="88"/>
    <x v="3"/>
    <n v="2.4"/>
  </r>
  <r>
    <x v="100"/>
    <x v="18"/>
    <x v="3"/>
    <n v="4360.05"/>
    <x v="1"/>
    <n v="17440.2"/>
    <x v="7"/>
    <x v="2"/>
    <n v="3.3"/>
  </r>
  <r>
    <x v="101"/>
    <x v="8"/>
    <x v="1"/>
    <n v="38093.14"/>
    <x v="2"/>
    <n v="38093.14"/>
    <x v="5"/>
    <x v="4"/>
    <n v="3"/>
  </r>
  <r>
    <x v="102"/>
    <x v="0"/>
    <x v="0"/>
    <n v="32788.199999999997"/>
    <x v="4"/>
    <n v="163941"/>
    <x v="89"/>
    <x v="4"/>
    <n v="4"/>
  </r>
  <r>
    <x v="103"/>
    <x v="13"/>
    <x v="0"/>
    <n v="42715.55"/>
    <x v="2"/>
    <n v="42715.55"/>
    <x v="90"/>
    <x v="4"/>
    <n v="4.4000000000000004"/>
  </r>
  <r>
    <x v="104"/>
    <x v="10"/>
    <x v="2"/>
    <n v="28758.42"/>
    <x v="4"/>
    <n v="143792.1"/>
    <x v="91"/>
    <x v="5"/>
    <n v="3.7"/>
  </r>
  <r>
    <x v="105"/>
    <x v="0"/>
    <x v="0"/>
    <n v="22555.21"/>
    <x v="0"/>
    <n v="45110.42"/>
    <x v="92"/>
    <x v="1"/>
    <n v="4.3"/>
  </r>
  <r>
    <x v="106"/>
    <x v="24"/>
    <x v="1"/>
    <n v="33613.18"/>
    <x v="2"/>
    <n v="33613.18"/>
    <x v="23"/>
    <x v="2"/>
    <n v="3.5"/>
  </r>
  <r>
    <x v="107"/>
    <x v="15"/>
    <x v="1"/>
    <n v="44639"/>
    <x v="4"/>
    <n v="223195"/>
    <x v="93"/>
    <x v="4"/>
    <n v="1.1000000000000001"/>
  </r>
  <r>
    <x v="108"/>
    <x v="1"/>
    <x v="1"/>
    <n v="11785.4"/>
    <x v="4"/>
    <n v="58927"/>
    <x v="94"/>
    <x v="2"/>
    <n v="1.6"/>
  </r>
  <r>
    <x v="109"/>
    <x v="22"/>
    <x v="0"/>
    <n v="30826.720000000001"/>
    <x v="2"/>
    <n v="30826.720000000001"/>
    <x v="95"/>
    <x v="1"/>
    <n v="3.9"/>
  </r>
  <r>
    <x v="110"/>
    <x v="8"/>
    <x v="1"/>
    <n v="35811.1"/>
    <x v="1"/>
    <n v="143244.4"/>
    <x v="96"/>
    <x v="5"/>
    <n v="1.9"/>
  </r>
  <r>
    <x v="111"/>
    <x v="19"/>
    <x v="2"/>
    <n v="45387.99"/>
    <x v="3"/>
    <n v="136163.97"/>
    <x v="97"/>
    <x v="3"/>
    <n v="4.8"/>
  </r>
  <r>
    <x v="112"/>
    <x v="23"/>
    <x v="4"/>
    <n v="39263.94"/>
    <x v="4"/>
    <n v="196319.7"/>
    <x v="26"/>
    <x v="2"/>
    <n v="3.8"/>
  </r>
  <r>
    <x v="113"/>
    <x v="0"/>
    <x v="0"/>
    <n v="19787.61"/>
    <x v="2"/>
    <n v="19787.61"/>
    <x v="98"/>
    <x v="0"/>
    <n v="3.9"/>
  </r>
  <r>
    <x v="114"/>
    <x v="8"/>
    <x v="1"/>
    <n v="26219.99"/>
    <x v="1"/>
    <n v="104879.96"/>
    <x v="8"/>
    <x v="0"/>
    <n v="2.1"/>
  </r>
  <r>
    <x v="115"/>
    <x v="11"/>
    <x v="2"/>
    <n v="14286.02"/>
    <x v="1"/>
    <n v="57144.08"/>
    <x v="99"/>
    <x v="1"/>
    <n v="3.7"/>
  </r>
  <r>
    <x v="116"/>
    <x v="15"/>
    <x v="1"/>
    <n v="13019.07"/>
    <x v="3"/>
    <n v="39057.21"/>
    <x v="86"/>
    <x v="4"/>
    <n v="2.8"/>
  </r>
  <r>
    <x v="117"/>
    <x v="2"/>
    <x v="2"/>
    <n v="43488.42"/>
    <x v="3"/>
    <n v="130465.26"/>
    <x v="100"/>
    <x v="5"/>
    <n v="3"/>
  </r>
  <r>
    <x v="118"/>
    <x v="14"/>
    <x v="0"/>
    <n v="30903.49"/>
    <x v="1"/>
    <n v="123613.96"/>
    <x v="45"/>
    <x v="5"/>
    <n v="1.7"/>
  </r>
  <r>
    <x v="119"/>
    <x v="7"/>
    <x v="4"/>
    <n v="37405.46"/>
    <x v="1"/>
    <n v="149621.84"/>
    <x v="101"/>
    <x v="2"/>
    <n v="1.3"/>
  </r>
  <r>
    <x v="120"/>
    <x v="9"/>
    <x v="3"/>
    <n v="30593.67"/>
    <x v="1"/>
    <n v="122374.68"/>
    <x v="2"/>
    <x v="3"/>
    <n v="1.5"/>
  </r>
  <r>
    <x v="121"/>
    <x v="20"/>
    <x v="3"/>
    <n v="28688.25"/>
    <x v="3"/>
    <n v="86064.75"/>
    <x v="102"/>
    <x v="1"/>
    <n v="2.4"/>
  </r>
  <r>
    <x v="122"/>
    <x v="17"/>
    <x v="2"/>
    <n v="12158.96"/>
    <x v="3"/>
    <n v="36476.879999999997"/>
    <x v="103"/>
    <x v="5"/>
    <n v="1.1000000000000001"/>
  </r>
  <r>
    <x v="123"/>
    <x v="20"/>
    <x v="3"/>
    <n v="24500.05"/>
    <x v="3"/>
    <n v="73500.149999999994"/>
    <x v="104"/>
    <x v="4"/>
    <n v="4.4000000000000004"/>
  </r>
  <r>
    <x v="124"/>
    <x v="7"/>
    <x v="4"/>
    <n v="44412.88"/>
    <x v="3"/>
    <n v="133238.64000000001"/>
    <x v="105"/>
    <x v="3"/>
    <n v="1.4"/>
  </r>
  <r>
    <x v="125"/>
    <x v="12"/>
    <x v="3"/>
    <n v="26615.97"/>
    <x v="3"/>
    <n v="79847.91"/>
    <x v="106"/>
    <x v="5"/>
    <n v="3.6"/>
  </r>
  <r>
    <x v="126"/>
    <x v="8"/>
    <x v="1"/>
    <n v="3979.4"/>
    <x v="2"/>
    <n v="3979.4"/>
    <x v="107"/>
    <x v="0"/>
    <n v="4.5999999999999996"/>
  </r>
  <r>
    <x v="127"/>
    <x v="10"/>
    <x v="2"/>
    <n v="49687.49"/>
    <x v="0"/>
    <n v="99374.98"/>
    <x v="108"/>
    <x v="1"/>
    <n v="2.5"/>
  </r>
  <r>
    <x v="128"/>
    <x v="18"/>
    <x v="3"/>
    <n v="11289.42"/>
    <x v="3"/>
    <n v="33868.26"/>
    <x v="109"/>
    <x v="1"/>
    <n v="2.2999999999999998"/>
  </r>
  <r>
    <x v="129"/>
    <x v="24"/>
    <x v="1"/>
    <n v="27309.73"/>
    <x v="3"/>
    <n v="81929.19"/>
    <x v="110"/>
    <x v="5"/>
    <n v="4"/>
  </r>
  <r>
    <x v="130"/>
    <x v="18"/>
    <x v="3"/>
    <n v="30374.400000000001"/>
    <x v="4"/>
    <n v="151872"/>
    <x v="111"/>
    <x v="5"/>
    <n v="1.8"/>
  </r>
  <r>
    <x v="131"/>
    <x v="19"/>
    <x v="2"/>
    <n v="15486.41"/>
    <x v="1"/>
    <n v="61945.64"/>
    <x v="112"/>
    <x v="3"/>
    <n v="5"/>
  </r>
  <r>
    <x v="132"/>
    <x v="3"/>
    <x v="3"/>
    <n v="33698.339999999997"/>
    <x v="2"/>
    <n v="33698.339999999997"/>
    <x v="109"/>
    <x v="0"/>
    <n v="4.2"/>
  </r>
  <r>
    <x v="133"/>
    <x v="24"/>
    <x v="1"/>
    <n v="42987.64"/>
    <x v="4"/>
    <n v="214938.2"/>
    <x v="13"/>
    <x v="2"/>
    <n v="3.7"/>
  </r>
  <r>
    <x v="134"/>
    <x v="3"/>
    <x v="3"/>
    <n v="1104.25"/>
    <x v="4"/>
    <n v="5521.25"/>
    <x v="43"/>
    <x v="1"/>
    <n v="3.8"/>
  </r>
  <r>
    <x v="135"/>
    <x v="8"/>
    <x v="1"/>
    <n v="14043.16"/>
    <x v="1"/>
    <n v="56172.639999999999"/>
    <x v="113"/>
    <x v="2"/>
    <n v="3.1"/>
  </r>
  <r>
    <x v="136"/>
    <x v="14"/>
    <x v="0"/>
    <n v="24032.880000000001"/>
    <x v="2"/>
    <n v="24032.880000000001"/>
    <x v="114"/>
    <x v="2"/>
    <n v="3.8"/>
  </r>
  <r>
    <x v="137"/>
    <x v="2"/>
    <x v="2"/>
    <n v="32283.58"/>
    <x v="3"/>
    <n v="96850.74"/>
    <x v="57"/>
    <x v="3"/>
    <n v="4.4000000000000004"/>
  </r>
  <r>
    <x v="138"/>
    <x v="11"/>
    <x v="2"/>
    <n v="3848.54"/>
    <x v="2"/>
    <n v="3848.54"/>
    <x v="115"/>
    <x v="5"/>
    <n v="4.5999999999999996"/>
  </r>
  <r>
    <x v="139"/>
    <x v="4"/>
    <x v="4"/>
    <n v="48175.48"/>
    <x v="2"/>
    <n v="48175.48"/>
    <x v="56"/>
    <x v="3"/>
    <n v="1.5"/>
  </r>
  <r>
    <x v="140"/>
    <x v="9"/>
    <x v="3"/>
    <n v="2273.0100000000002"/>
    <x v="0"/>
    <n v="4546.0200000000004"/>
    <x v="116"/>
    <x v="1"/>
    <n v="4.3"/>
  </r>
  <r>
    <x v="141"/>
    <x v="8"/>
    <x v="1"/>
    <n v="48346.41"/>
    <x v="3"/>
    <n v="145039.23000000001"/>
    <x v="117"/>
    <x v="0"/>
    <n v="1.4"/>
  </r>
  <r>
    <x v="142"/>
    <x v="7"/>
    <x v="4"/>
    <n v="8383.86"/>
    <x v="0"/>
    <n v="16767.72"/>
    <x v="118"/>
    <x v="2"/>
    <n v="3.1"/>
  </r>
  <r>
    <x v="143"/>
    <x v="19"/>
    <x v="2"/>
    <n v="15344.02"/>
    <x v="2"/>
    <n v="15344.02"/>
    <x v="52"/>
    <x v="1"/>
    <n v="4"/>
  </r>
  <r>
    <x v="144"/>
    <x v="12"/>
    <x v="3"/>
    <n v="49142.57"/>
    <x v="1"/>
    <n v="196570.28"/>
    <x v="119"/>
    <x v="1"/>
    <n v="4.9000000000000004"/>
  </r>
  <r>
    <x v="145"/>
    <x v="22"/>
    <x v="0"/>
    <n v="45182.27"/>
    <x v="4"/>
    <n v="225911.35"/>
    <x v="13"/>
    <x v="0"/>
    <n v="3.1"/>
  </r>
  <r>
    <x v="146"/>
    <x v="8"/>
    <x v="1"/>
    <n v="18309.060000000001"/>
    <x v="0"/>
    <n v="36618.120000000003"/>
    <x v="120"/>
    <x v="5"/>
    <n v="1.9"/>
  </r>
  <r>
    <x v="147"/>
    <x v="3"/>
    <x v="3"/>
    <n v="33021.1"/>
    <x v="1"/>
    <n v="132084.4"/>
    <x v="121"/>
    <x v="0"/>
    <n v="4.4000000000000004"/>
  </r>
  <r>
    <x v="148"/>
    <x v="8"/>
    <x v="1"/>
    <n v="42814.17"/>
    <x v="4"/>
    <n v="214070.85"/>
    <x v="122"/>
    <x v="0"/>
    <n v="4.2"/>
  </r>
  <r>
    <x v="149"/>
    <x v="10"/>
    <x v="2"/>
    <n v="5293.87"/>
    <x v="0"/>
    <n v="10587.74"/>
    <x v="123"/>
    <x v="0"/>
    <n v="2.7"/>
  </r>
  <r>
    <x v="150"/>
    <x v="21"/>
    <x v="0"/>
    <n v="16596.580000000002"/>
    <x v="4"/>
    <n v="82982.899999999994"/>
    <x v="86"/>
    <x v="1"/>
    <n v="2.1"/>
  </r>
  <r>
    <x v="151"/>
    <x v="6"/>
    <x v="1"/>
    <n v="48940.95"/>
    <x v="2"/>
    <n v="48940.95"/>
    <x v="124"/>
    <x v="5"/>
    <n v="1"/>
  </r>
  <r>
    <x v="152"/>
    <x v="1"/>
    <x v="1"/>
    <n v="10059.450000000001"/>
    <x v="4"/>
    <n v="50297.25"/>
    <x v="125"/>
    <x v="3"/>
    <n v="4.3"/>
  </r>
  <r>
    <x v="153"/>
    <x v="10"/>
    <x v="2"/>
    <n v="4820.8"/>
    <x v="2"/>
    <n v="4820.8"/>
    <x v="72"/>
    <x v="2"/>
    <n v="4.3"/>
  </r>
  <r>
    <x v="154"/>
    <x v="14"/>
    <x v="0"/>
    <n v="12087.35"/>
    <x v="1"/>
    <n v="48349.4"/>
    <x v="126"/>
    <x v="1"/>
    <n v="2.6"/>
  </r>
  <r>
    <x v="155"/>
    <x v="2"/>
    <x v="2"/>
    <n v="43522.080000000002"/>
    <x v="4"/>
    <n v="217610.4"/>
    <x v="96"/>
    <x v="3"/>
    <n v="4.8"/>
  </r>
  <r>
    <x v="156"/>
    <x v="3"/>
    <x v="3"/>
    <n v="42409.26"/>
    <x v="2"/>
    <n v="42409.26"/>
    <x v="67"/>
    <x v="0"/>
    <n v="2"/>
  </r>
  <r>
    <x v="157"/>
    <x v="21"/>
    <x v="0"/>
    <n v="29882.47"/>
    <x v="4"/>
    <n v="149412.35"/>
    <x v="42"/>
    <x v="2"/>
    <n v="4.7"/>
  </r>
  <r>
    <x v="158"/>
    <x v="3"/>
    <x v="3"/>
    <n v="40233.279999999999"/>
    <x v="4"/>
    <n v="201166.4"/>
    <x v="127"/>
    <x v="2"/>
    <n v="1.9"/>
  </r>
  <r>
    <x v="159"/>
    <x v="23"/>
    <x v="4"/>
    <n v="15357.36"/>
    <x v="1"/>
    <n v="61429.440000000002"/>
    <x v="128"/>
    <x v="0"/>
    <n v="1.6"/>
  </r>
  <r>
    <x v="160"/>
    <x v="22"/>
    <x v="0"/>
    <n v="10565.57"/>
    <x v="1"/>
    <n v="42262.28"/>
    <x v="6"/>
    <x v="5"/>
    <n v="1.5"/>
  </r>
  <r>
    <x v="161"/>
    <x v="21"/>
    <x v="0"/>
    <n v="42533.26"/>
    <x v="1"/>
    <n v="170133.04"/>
    <x v="43"/>
    <x v="0"/>
    <n v="4.5999999999999996"/>
  </r>
  <r>
    <x v="162"/>
    <x v="5"/>
    <x v="4"/>
    <n v="18426.900000000001"/>
    <x v="1"/>
    <n v="73707.600000000006"/>
    <x v="129"/>
    <x v="0"/>
    <n v="4.7"/>
  </r>
  <r>
    <x v="163"/>
    <x v="10"/>
    <x v="2"/>
    <n v="23369.23"/>
    <x v="2"/>
    <n v="23369.23"/>
    <x v="81"/>
    <x v="4"/>
    <n v="1.5"/>
  </r>
  <r>
    <x v="164"/>
    <x v="10"/>
    <x v="2"/>
    <n v="2735.32"/>
    <x v="4"/>
    <n v="13676.6"/>
    <x v="130"/>
    <x v="2"/>
    <n v="2.6"/>
  </r>
  <r>
    <x v="165"/>
    <x v="18"/>
    <x v="3"/>
    <n v="48944.01"/>
    <x v="3"/>
    <n v="146832.03"/>
    <x v="6"/>
    <x v="3"/>
    <n v="4.2"/>
  </r>
  <r>
    <x v="166"/>
    <x v="17"/>
    <x v="2"/>
    <n v="32590.46"/>
    <x v="0"/>
    <n v="65180.92"/>
    <x v="131"/>
    <x v="5"/>
    <n v="2.4"/>
  </r>
  <r>
    <x v="167"/>
    <x v="17"/>
    <x v="2"/>
    <n v="35286.97"/>
    <x v="0"/>
    <n v="70573.94"/>
    <x v="39"/>
    <x v="5"/>
    <n v="3.3"/>
  </r>
  <r>
    <x v="168"/>
    <x v="21"/>
    <x v="0"/>
    <n v="42881.03"/>
    <x v="3"/>
    <n v="128643.09"/>
    <x v="132"/>
    <x v="5"/>
    <n v="4.4000000000000004"/>
  </r>
  <r>
    <x v="169"/>
    <x v="19"/>
    <x v="2"/>
    <n v="28246.25"/>
    <x v="0"/>
    <n v="56492.5"/>
    <x v="133"/>
    <x v="5"/>
    <n v="2.2999999999999998"/>
  </r>
  <r>
    <x v="170"/>
    <x v="19"/>
    <x v="2"/>
    <n v="24619.84"/>
    <x v="0"/>
    <n v="49239.68"/>
    <x v="87"/>
    <x v="0"/>
    <n v="4.0999999999999996"/>
  </r>
  <r>
    <x v="171"/>
    <x v="24"/>
    <x v="1"/>
    <n v="12083.96"/>
    <x v="3"/>
    <n v="36251.879999999997"/>
    <x v="81"/>
    <x v="2"/>
    <n v="3"/>
  </r>
  <r>
    <x v="172"/>
    <x v="22"/>
    <x v="0"/>
    <n v="12214.72"/>
    <x v="4"/>
    <n v="61073.599999999999"/>
    <x v="134"/>
    <x v="1"/>
    <n v="2.1"/>
  </r>
  <r>
    <x v="173"/>
    <x v="21"/>
    <x v="0"/>
    <n v="19386.27"/>
    <x v="2"/>
    <n v="19386.27"/>
    <x v="70"/>
    <x v="3"/>
    <n v="4.0999999999999996"/>
  </r>
  <r>
    <x v="174"/>
    <x v="0"/>
    <x v="0"/>
    <n v="34879.4"/>
    <x v="3"/>
    <n v="104638.2"/>
    <x v="77"/>
    <x v="1"/>
    <n v="2.5"/>
  </r>
  <r>
    <x v="175"/>
    <x v="18"/>
    <x v="3"/>
    <n v="32016.11"/>
    <x v="4"/>
    <n v="160080.54999999999"/>
    <x v="122"/>
    <x v="0"/>
    <n v="4.3"/>
  </r>
  <r>
    <x v="176"/>
    <x v="15"/>
    <x v="1"/>
    <n v="32264.17"/>
    <x v="2"/>
    <n v="32264.17"/>
    <x v="135"/>
    <x v="5"/>
    <n v="4.0999999999999996"/>
  </r>
  <r>
    <x v="177"/>
    <x v="19"/>
    <x v="2"/>
    <n v="30171.74"/>
    <x v="1"/>
    <n v="120686.96"/>
    <x v="136"/>
    <x v="5"/>
    <n v="3.8"/>
  </r>
  <r>
    <x v="178"/>
    <x v="24"/>
    <x v="1"/>
    <n v="22712.18"/>
    <x v="4"/>
    <n v="113560.9"/>
    <x v="137"/>
    <x v="3"/>
    <n v="3.9"/>
  </r>
  <r>
    <x v="179"/>
    <x v="13"/>
    <x v="0"/>
    <n v="27204.69"/>
    <x v="2"/>
    <n v="27204.69"/>
    <x v="71"/>
    <x v="0"/>
    <n v="2.8"/>
  </r>
  <r>
    <x v="180"/>
    <x v="0"/>
    <x v="0"/>
    <n v="17353.47"/>
    <x v="2"/>
    <n v="17353.47"/>
    <x v="138"/>
    <x v="4"/>
    <n v="2.6"/>
  </r>
  <r>
    <x v="181"/>
    <x v="23"/>
    <x v="4"/>
    <n v="44882.2"/>
    <x v="2"/>
    <n v="44882.2"/>
    <x v="120"/>
    <x v="3"/>
    <n v="1.3"/>
  </r>
  <r>
    <x v="182"/>
    <x v="23"/>
    <x v="4"/>
    <n v="47002.720000000001"/>
    <x v="3"/>
    <n v="141008.16"/>
    <x v="139"/>
    <x v="0"/>
    <n v="4.0999999999999996"/>
  </r>
  <r>
    <x v="183"/>
    <x v="11"/>
    <x v="2"/>
    <n v="33659.67"/>
    <x v="1"/>
    <n v="134638.68"/>
    <x v="64"/>
    <x v="2"/>
    <n v="3.3"/>
  </r>
  <r>
    <x v="184"/>
    <x v="23"/>
    <x v="4"/>
    <n v="13011.44"/>
    <x v="0"/>
    <n v="26022.880000000001"/>
    <x v="94"/>
    <x v="2"/>
    <n v="4.9000000000000004"/>
  </r>
  <r>
    <x v="185"/>
    <x v="12"/>
    <x v="3"/>
    <n v="21990.25"/>
    <x v="3"/>
    <n v="65970.75"/>
    <x v="83"/>
    <x v="2"/>
    <n v="4.2"/>
  </r>
  <r>
    <x v="186"/>
    <x v="10"/>
    <x v="2"/>
    <n v="1927.38"/>
    <x v="3"/>
    <n v="5782.14"/>
    <x v="140"/>
    <x v="0"/>
    <n v="2.9"/>
  </r>
  <r>
    <x v="187"/>
    <x v="18"/>
    <x v="3"/>
    <n v="21741.53"/>
    <x v="3"/>
    <n v="65224.59"/>
    <x v="141"/>
    <x v="3"/>
    <n v="3.5"/>
  </r>
  <r>
    <x v="188"/>
    <x v="6"/>
    <x v="1"/>
    <n v="23638.720000000001"/>
    <x v="2"/>
    <n v="23638.720000000001"/>
    <x v="79"/>
    <x v="4"/>
    <n v="1.5"/>
  </r>
  <r>
    <x v="189"/>
    <x v="17"/>
    <x v="2"/>
    <n v="39372.11"/>
    <x v="2"/>
    <n v="39372.11"/>
    <x v="10"/>
    <x v="2"/>
    <n v="4.0999999999999996"/>
  </r>
  <r>
    <x v="190"/>
    <x v="21"/>
    <x v="0"/>
    <n v="49088.13"/>
    <x v="1"/>
    <n v="196352.52"/>
    <x v="142"/>
    <x v="2"/>
    <n v="2.2999999999999998"/>
  </r>
  <r>
    <x v="191"/>
    <x v="4"/>
    <x v="4"/>
    <n v="4524.63"/>
    <x v="3"/>
    <n v="13573.89"/>
    <x v="143"/>
    <x v="1"/>
    <n v="2.4"/>
  </r>
  <r>
    <x v="192"/>
    <x v="6"/>
    <x v="1"/>
    <n v="1507.01"/>
    <x v="3"/>
    <n v="4521.03"/>
    <x v="144"/>
    <x v="5"/>
    <n v="2.5"/>
  </r>
  <r>
    <x v="193"/>
    <x v="9"/>
    <x v="3"/>
    <n v="39699.85"/>
    <x v="3"/>
    <n v="119099.55"/>
    <x v="145"/>
    <x v="2"/>
    <n v="3.9"/>
  </r>
  <r>
    <x v="194"/>
    <x v="2"/>
    <x v="2"/>
    <n v="37494.129999999997"/>
    <x v="4"/>
    <n v="187470.65"/>
    <x v="29"/>
    <x v="3"/>
    <n v="1.8"/>
  </r>
  <r>
    <x v="195"/>
    <x v="12"/>
    <x v="3"/>
    <n v="5850.81"/>
    <x v="4"/>
    <n v="29254.05"/>
    <x v="43"/>
    <x v="3"/>
    <n v="1.3"/>
  </r>
  <r>
    <x v="196"/>
    <x v="22"/>
    <x v="0"/>
    <n v="16448.740000000002"/>
    <x v="1"/>
    <n v="65794.960000000006"/>
    <x v="146"/>
    <x v="5"/>
    <n v="4.5999999999999996"/>
  </r>
  <r>
    <x v="197"/>
    <x v="3"/>
    <x v="3"/>
    <n v="11103.44"/>
    <x v="2"/>
    <n v="11103.44"/>
    <x v="147"/>
    <x v="2"/>
    <n v="1.1000000000000001"/>
  </r>
  <r>
    <x v="198"/>
    <x v="22"/>
    <x v="0"/>
    <n v="34255.39"/>
    <x v="0"/>
    <n v="68510.78"/>
    <x v="148"/>
    <x v="1"/>
    <n v="2.9"/>
  </r>
  <r>
    <x v="199"/>
    <x v="3"/>
    <x v="3"/>
    <n v="18304.18"/>
    <x v="0"/>
    <n v="36608.36"/>
    <x v="149"/>
    <x v="0"/>
    <n v="1.6"/>
  </r>
  <r>
    <x v="200"/>
    <x v="7"/>
    <x v="4"/>
    <n v="12771.91"/>
    <x v="0"/>
    <n v="25543.82"/>
    <x v="150"/>
    <x v="2"/>
    <n v="3.2"/>
  </r>
  <r>
    <x v="201"/>
    <x v="13"/>
    <x v="0"/>
    <n v="2275.09"/>
    <x v="0"/>
    <n v="4550.18"/>
    <x v="33"/>
    <x v="0"/>
    <n v="1.5"/>
  </r>
  <r>
    <x v="202"/>
    <x v="6"/>
    <x v="1"/>
    <n v="16468.59"/>
    <x v="1"/>
    <n v="65874.36"/>
    <x v="151"/>
    <x v="5"/>
    <n v="4.5"/>
  </r>
  <r>
    <x v="203"/>
    <x v="4"/>
    <x v="4"/>
    <n v="4934.99"/>
    <x v="3"/>
    <n v="14804.97"/>
    <x v="152"/>
    <x v="4"/>
    <n v="4.5999999999999996"/>
  </r>
  <r>
    <x v="204"/>
    <x v="7"/>
    <x v="4"/>
    <n v="5258.29"/>
    <x v="4"/>
    <n v="26291.45"/>
    <x v="153"/>
    <x v="2"/>
    <n v="2.5"/>
  </r>
  <r>
    <x v="205"/>
    <x v="17"/>
    <x v="2"/>
    <n v="32580"/>
    <x v="4"/>
    <n v="162900"/>
    <x v="154"/>
    <x v="3"/>
    <n v="2.7"/>
  </r>
  <r>
    <x v="206"/>
    <x v="23"/>
    <x v="4"/>
    <n v="40298.9"/>
    <x v="2"/>
    <n v="40298.9"/>
    <x v="110"/>
    <x v="0"/>
    <n v="1.2"/>
  </r>
  <r>
    <x v="207"/>
    <x v="9"/>
    <x v="3"/>
    <n v="11236.19"/>
    <x v="3"/>
    <n v="33708.57"/>
    <x v="155"/>
    <x v="3"/>
    <n v="2.6"/>
  </r>
  <r>
    <x v="208"/>
    <x v="22"/>
    <x v="0"/>
    <n v="32537.46"/>
    <x v="4"/>
    <n v="162687.29999999999"/>
    <x v="114"/>
    <x v="1"/>
    <n v="3.4"/>
  </r>
  <r>
    <x v="209"/>
    <x v="1"/>
    <x v="1"/>
    <n v="6953.88"/>
    <x v="2"/>
    <n v="6953.88"/>
    <x v="145"/>
    <x v="1"/>
    <n v="2.9"/>
  </r>
  <r>
    <x v="210"/>
    <x v="16"/>
    <x v="4"/>
    <n v="32824.050000000003"/>
    <x v="3"/>
    <n v="98472.15"/>
    <x v="156"/>
    <x v="4"/>
    <n v="3.6"/>
  </r>
  <r>
    <x v="211"/>
    <x v="6"/>
    <x v="1"/>
    <n v="34459.99"/>
    <x v="3"/>
    <n v="103379.97"/>
    <x v="157"/>
    <x v="0"/>
    <n v="1.4"/>
  </r>
  <r>
    <x v="212"/>
    <x v="0"/>
    <x v="0"/>
    <n v="13608.58"/>
    <x v="3"/>
    <n v="40825.74"/>
    <x v="158"/>
    <x v="1"/>
    <n v="4.5999999999999996"/>
  </r>
  <r>
    <x v="213"/>
    <x v="5"/>
    <x v="4"/>
    <n v="32630.83"/>
    <x v="0"/>
    <n v="65261.66"/>
    <x v="58"/>
    <x v="1"/>
    <n v="4.7"/>
  </r>
  <r>
    <x v="214"/>
    <x v="18"/>
    <x v="3"/>
    <n v="24818.77"/>
    <x v="1"/>
    <n v="99275.08"/>
    <x v="159"/>
    <x v="0"/>
    <n v="2.2999999999999998"/>
  </r>
  <r>
    <x v="215"/>
    <x v="14"/>
    <x v="0"/>
    <n v="36645.35"/>
    <x v="3"/>
    <n v="109936.05"/>
    <x v="160"/>
    <x v="0"/>
    <n v="2.5"/>
  </r>
  <r>
    <x v="216"/>
    <x v="1"/>
    <x v="1"/>
    <n v="25668.959999999999"/>
    <x v="3"/>
    <n v="77006.880000000005"/>
    <x v="161"/>
    <x v="0"/>
    <n v="4.8"/>
  </r>
  <r>
    <x v="217"/>
    <x v="24"/>
    <x v="1"/>
    <n v="44241.68"/>
    <x v="1"/>
    <n v="176966.72"/>
    <x v="162"/>
    <x v="3"/>
    <n v="1.4"/>
  </r>
  <r>
    <x v="218"/>
    <x v="20"/>
    <x v="3"/>
    <n v="39749.19"/>
    <x v="2"/>
    <n v="39749.19"/>
    <x v="163"/>
    <x v="3"/>
    <n v="3.5"/>
  </r>
  <r>
    <x v="219"/>
    <x v="9"/>
    <x v="3"/>
    <n v="37578.46"/>
    <x v="0"/>
    <n v="75156.92"/>
    <x v="161"/>
    <x v="5"/>
    <n v="4.4000000000000004"/>
  </r>
  <r>
    <x v="220"/>
    <x v="12"/>
    <x v="3"/>
    <n v="37203.65"/>
    <x v="1"/>
    <n v="148814.6"/>
    <x v="145"/>
    <x v="2"/>
    <n v="3.5"/>
  </r>
  <r>
    <x v="221"/>
    <x v="22"/>
    <x v="0"/>
    <n v="22851.63"/>
    <x v="2"/>
    <n v="22851.63"/>
    <x v="145"/>
    <x v="2"/>
    <n v="1"/>
  </r>
  <r>
    <x v="222"/>
    <x v="17"/>
    <x v="2"/>
    <n v="27627.84"/>
    <x v="1"/>
    <n v="110511.36"/>
    <x v="13"/>
    <x v="1"/>
    <n v="1.8"/>
  </r>
  <r>
    <x v="223"/>
    <x v="22"/>
    <x v="0"/>
    <n v="31333.95"/>
    <x v="3"/>
    <n v="94001.85"/>
    <x v="121"/>
    <x v="0"/>
    <n v="1.7"/>
  </r>
  <r>
    <x v="224"/>
    <x v="16"/>
    <x v="4"/>
    <n v="30911.439999999999"/>
    <x v="4"/>
    <n v="154557.20000000001"/>
    <x v="164"/>
    <x v="0"/>
    <n v="3"/>
  </r>
  <r>
    <x v="225"/>
    <x v="18"/>
    <x v="3"/>
    <n v="11518.23"/>
    <x v="2"/>
    <n v="11518.23"/>
    <x v="165"/>
    <x v="0"/>
    <n v="4.4000000000000004"/>
  </r>
  <r>
    <x v="226"/>
    <x v="1"/>
    <x v="1"/>
    <n v="43304.55"/>
    <x v="4"/>
    <n v="216522.75"/>
    <x v="166"/>
    <x v="1"/>
    <n v="2.6"/>
  </r>
  <r>
    <x v="227"/>
    <x v="22"/>
    <x v="0"/>
    <n v="3710.07"/>
    <x v="3"/>
    <n v="11130.21"/>
    <x v="124"/>
    <x v="4"/>
    <n v="4.2"/>
  </r>
  <r>
    <x v="228"/>
    <x v="10"/>
    <x v="2"/>
    <n v="34621.21"/>
    <x v="0"/>
    <n v="69242.42"/>
    <x v="16"/>
    <x v="2"/>
    <n v="1.8"/>
  </r>
  <r>
    <x v="229"/>
    <x v="20"/>
    <x v="3"/>
    <n v="41742.29"/>
    <x v="4"/>
    <n v="208711.45"/>
    <x v="30"/>
    <x v="3"/>
    <n v="2.6"/>
  </r>
  <r>
    <x v="230"/>
    <x v="16"/>
    <x v="4"/>
    <n v="46858.63"/>
    <x v="2"/>
    <n v="46858.63"/>
    <x v="155"/>
    <x v="0"/>
    <n v="3.5"/>
  </r>
  <r>
    <x v="231"/>
    <x v="3"/>
    <x v="3"/>
    <n v="5413.09"/>
    <x v="2"/>
    <n v="5413.09"/>
    <x v="167"/>
    <x v="1"/>
    <n v="3.4"/>
  </r>
  <r>
    <x v="232"/>
    <x v="18"/>
    <x v="3"/>
    <n v="5880.45"/>
    <x v="2"/>
    <n v="5880.45"/>
    <x v="168"/>
    <x v="5"/>
    <n v="2"/>
  </r>
  <r>
    <x v="233"/>
    <x v="13"/>
    <x v="0"/>
    <n v="35665.26"/>
    <x v="3"/>
    <n v="106995.78"/>
    <x v="13"/>
    <x v="2"/>
    <n v="1.2"/>
  </r>
  <r>
    <x v="234"/>
    <x v="20"/>
    <x v="3"/>
    <n v="42981.89"/>
    <x v="4"/>
    <n v="214909.45"/>
    <x v="57"/>
    <x v="4"/>
    <n v="1.8"/>
  </r>
  <r>
    <x v="235"/>
    <x v="13"/>
    <x v="0"/>
    <n v="25629.88"/>
    <x v="3"/>
    <n v="76889.64"/>
    <x v="51"/>
    <x v="0"/>
    <n v="2.9"/>
  </r>
  <r>
    <x v="236"/>
    <x v="10"/>
    <x v="2"/>
    <n v="22475.94"/>
    <x v="1"/>
    <n v="89903.76"/>
    <x v="66"/>
    <x v="0"/>
    <n v="3.5"/>
  </r>
  <r>
    <x v="237"/>
    <x v="23"/>
    <x v="4"/>
    <n v="33250.699999999997"/>
    <x v="4"/>
    <n v="166253.5"/>
    <x v="169"/>
    <x v="2"/>
    <n v="4.3"/>
  </r>
  <r>
    <x v="238"/>
    <x v="14"/>
    <x v="0"/>
    <n v="45045.03"/>
    <x v="4"/>
    <n v="225225.15"/>
    <x v="57"/>
    <x v="5"/>
    <n v="3.8"/>
  </r>
  <r>
    <x v="239"/>
    <x v="16"/>
    <x v="4"/>
    <n v="3955.86"/>
    <x v="4"/>
    <n v="19779.3"/>
    <x v="170"/>
    <x v="5"/>
    <n v="4.7"/>
  </r>
  <r>
    <x v="240"/>
    <x v="10"/>
    <x v="2"/>
    <n v="28169.11"/>
    <x v="4"/>
    <n v="140845.54999999999"/>
    <x v="93"/>
    <x v="1"/>
    <n v="2.7"/>
  </r>
  <r>
    <x v="241"/>
    <x v="2"/>
    <x v="2"/>
    <n v="42785.51"/>
    <x v="1"/>
    <n v="171142.04"/>
    <x v="171"/>
    <x v="3"/>
    <n v="1.7"/>
  </r>
  <r>
    <x v="242"/>
    <x v="12"/>
    <x v="3"/>
    <n v="25614.35"/>
    <x v="0"/>
    <n v="51228.7"/>
    <x v="172"/>
    <x v="2"/>
    <n v="3.5"/>
  </r>
  <r>
    <x v="243"/>
    <x v="5"/>
    <x v="4"/>
    <n v="7771.58"/>
    <x v="4"/>
    <n v="38857.9"/>
    <x v="173"/>
    <x v="0"/>
    <n v="3.6"/>
  </r>
  <r>
    <x v="244"/>
    <x v="14"/>
    <x v="0"/>
    <n v="31059.47"/>
    <x v="3"/>
    <n v="93178.41"/>
    <x v="174"/>
    <x v="2"/>
    <n v="4.8"/>
  </r>
  <r>
    <x v="245"/>
    <x v="0"/>
    <x v="0"/>
    <n v="14506.11"/>
    <x v="4"/>
    <n v="72530.55"/>
    <x v="175"/>
    <x v="0"/>
    <n v="3.5"/>
  </r>
  <r>
    <x v="246"/>
    <x v="3"/>
    <x v="3"/>
    <n v="16272.38"/>
    <x v="3"/>
    <n v="48817.14"/>
    <x v="176"/>
    <x v="0"/>
    <n v="1.4"/>
  </r>
  <r>
    <x v="247"/>
    <x v="15"/>
    <x v="1"/>
    <n v="29222.92"/>
    <x v="3"/>
    <n v="87668.76"/>
    <x v="152"/>
    <x v="0"/>
    <n v="2.7"/>
  </r>
  <r>
    <x v="248"/>
    <x v="0"/>
    <x v="0"/>
    <n v="1483.5"/>
    <x v="4"/>
    <n v="7417.5"/>
    <x v="177"/>
    <x v="0"/>
    <n v="4.3"/>
  </r>
  <r>
    <x v="249"/>
    <x v="22"/>
    <x v="0"/>
    <n v="35629.550000000003"/>
    <x v="0"/>
    <n v="71259.100000000006"/>
    <x v="178"/>
    <x v="2"/>
    <n v="2"/>
  </r>
  <r>
    <x v="250"/>
    <x v="8"/>
    <x v="1"/>
    <n v="1987.98"/>
    <x v="1"/>
    <n v="7951.92"/>
    <x v="11"/>
    <x v="1"/>
    <n v="3.3"/>
  </r>
  <r>
    <x v="251"/>
    <x v="0"/>
    <x v="0"/>
    <n v="37590.44"/>
    <x v="1"/>
    <n v="150361.76"/>
    <x v="179"/>
    <x v="2"/>
    <n v="1.8"/>
  </r>
  <r>
    <x v="252"/>
    <x v="5"/>
    <x v="4"/>
    <n v="31759.49"/>
    <x v="1"/>
    <n v="127037.96"/>
    <x v="180"/>
    <x v="1"/>
    <n v="2"/>
  </r>
  <r>
    <x v="253"/>
    <x v="19"/>
    <x v="2"/>
    <n v="18787.05"/>
    <x v="1"/>
    <n v="75148.2"/>
    <x v="117"/>
    <x v="4"/>
    <n v="1.1000000000000001"/>
  </r>
  <r>
    <x v="254"/>
    <x v="0"/>
    <x v="0"/>
    <n v="17066.16"/>
    <x v="2"/>
    <n v="17066.16"/>
    <x v="181"/>
    <x v="2"/>
    <n v="2.8"/>
  </r>
  <r>
    <x v="255"/>
    <x v="8"/>
    <x v="1"/>
    <n v="15068.72"/>
    <x v="1"/>
    <n v="60274.879999999997"/>
    <x v="125"/>
    <x v="0"/>
    <n v="1.4"/>
  </r>
  <r>
    <x v="256"/>
    <x v="12"/>
    <x v="3"/>
    <n v="44334.11"/>
    <x v="3"/>
    <n v="133002.32999999999"/>
    <x v="182"/>
    <x v="2"/>
    <n v="2.6"/>
  </r>
  <r>
    <x v="257"/>
    <x v="12"/>
    <x v="3"/>
    <n v="11183.75"/>
    <x v="2"/>
    <n v="11183.75"/>
    <x v="183"/>
    <x v="4"/>
    <n v="4.9000000000000004"/>
  </r>
  <r>
    <x v="258"/>
    <x v="4"/>
    <x v="4"/>
    <n v="2923.95"/>
    <x v="4"/>
    <n v="14619.75"/>
    <x v="184"/>
    <x v="5"/>
    <n v="1.1000000000000001"/>
  </r>
  <r>
    <x v="259"/>
    <x v="19"/>
    <x v="2"/>
    <n v="7339.66"/>
    <x v="0"/>
    <n v="14679.32"/>
    <x v="132"/>
    <x v="5"/>
    <n v="1.1000000000000001"/>
  </r>
  <r>
    <x v="260"/>
    <x v="7"/>
    <x v="4"/>
    <n v="41405.370000000003"/>
    <x v="0"/>
    <n v="82810.740000000005"/>
    <x v="185"/>
    <x v="2"/>
    <n v="4.5999999999999996"/>
  </r>
  <r>
    <x v="261"/>
    <x v="5"/>
    <x v="4"/>
    <n v="36114.379999999997"/>
    <x v="2"/>
    <n v="36114.379999999997"/>
    <x v="186"/>
    <x v="5"/>
    <n v="4.5999999999999996"/>
  </r>
  <r>
    <x v="262"/>
    <x v="12"/>
    <x v="3"/>
    <n v="19915.59"/>
    <x v="4"/>
    <n v="99577.95"/>
    <x v="187"/>
    <x v="3"/>
    <n v="1.2"/>
  </r>
  <r>
    <x v="263"/>
    <x v="12"/>
    <x v="3"/>
    <n v="18366.97"/>
    <x v="1"/>
    <n v="73467.88"/>
    <x v="188"/>
    <x v="3"/>
    <n v="1.2"/>
  </r>
  <r>
    <x v="264"/>
    <x v="12"/>
    <x v="3"/>
    <n v="8563.14"/>
    <x v="0"/>
    <n v="17126.28"/>
    <x v="189"/>
    <x v="3"/>
    <n v="3.1"/>
  </r>
  <r>
    <x v="265"/>
    <x v="17"/>
    <x v="2"/>
    <n v="40461.79"/>
    <x v="2"/>
    <n v="40461.79"/>
    <x v="190"/>
    <x v="4"/>
    <n v="4.9000000000000004"/>
  </r>
  <r>
    <x v="266"/>
    <x v="8"/>
    <x v="1"/>
    <n v="6943.4"/>
    <x v="4"/>
    <n v="34717"/>
    <x v="70"/>
    <x v="0"/>
    <n v="1.5"/>
  </r>
  <r>
    <x v="267"/>
    <x v="19"/>
    <x v="2"/>
    <n v="14517.08"/>
    <x v="2"/>
    <n v="14517.08"/>
    <x v="190"/>
    <x v="1"/>
    <n v="3"/>
  </r>
  <r>
    <x v="268"/>
    <x v="9"/>
    <x v="3"/>
    <n v="4248.25"/>
    <x v="4"/>
    <n v="21241.25"/>
    <x v="163"/>
    <x v="2"/>
    <n v="4.0999999999999996"/>
  </r>
  <r>
    <x v="269"/>
    <x v="5"/>
    <x v="4"/>
    <n v="43118.73"/>
    <x v="4"/>
    <n v="215593.65"/>
    <x v="191"/>
    <x v="0"/>
    <n v="3.1"/>
  </r>
  <r>
    <x v="270"/>
    <x v="24"/>
    <x v="1"/>
    <n v="10086.76"/>
    <x v="0"/>
    <n v="20173.52"/>
    <x v="192"/>
    <x v="2"/>
    <n v="1.9"/>
  </r>
  <r>
    <x v="271"/>
    <x v="2"/>
    <x v="2"/>
    <n v="35373.5"/>
    <x v="1"/>
    <n v="141494"/>
    <x v="193"/>
    <x v="4"/>
    <n v="2.9"/>
  </r>
  <r>
    <x v="272"/>
    <x v="7"/>
    <x v="4"/>
    <n v="43002.68"/>
    <x v="3"/>
    <n v="129008.04"/>
    <x v="158"/>
    <x v="1"/>
    <n v="4.2"/>
  </r>
  <r>
    <x v="273"/>
    <x v="18"/>
    <x v="3"/>
    <n v="46388.81"/>
    <x v="2"/>
    <n v="46388.81"/>
    <x v="194"/>
    <x v="3"/>
    <n v="4.4000000000000004"/>
  </r>
  <r>
    <x v="274"/>
    <x v="14"/>
    <x v="0"/>
    <n v="47384.51"/>
    <x v="3"/>
    <n v="142153.53"/>
    <x v="195"/>
    <x v="5"/>
    <n v="1.5"/>
  </r>
  <r>
    <x v="275"/>
    <x v="8"/>
    <x v="1"/>
    <n v="15826.47"/>
    <x v="0"/>
    <n v="31652.94"/>
    <x v="196"/>
    <x v="5"/>
    <n v="4.4000000000000004"/>
  </r>
  <r>
    <x v="276"/>
    <x v="19"/>
    <x v="2"/>
    <n v="33927.57"/>
    <x v="4"/>
    <n v="169637.85"/>
    <x v="86"/>
    <x v="2"/>
    <n v="2.6"/>
  </r>
  <r>
    <x v="277"/>
    <x v="9"/>
    <x v="3"/>
    <n v="27400.84"/>
    <x v="2"/>
    <n v="27400.84"/>
    <x v="197"/>
    <x v="5"/>
    <n v="3.6"/>
  </r>
  <r>
    <x v="278"/>
    <x v="9"/>
    <x v="3"/>
    <n v="37684.28"/>
    <x v="1"/>
    <n v="150737.12"/>
    <x v="198"/>
    <x v="3"/>
    <n v="3.2"/>
  </r>
  <r>
    <x v="279"/>
    <x v="6"/>
    <x v="1"/>
    <n v="22968.18"/>
    <x v="1"/>
    <n v="91872.72"/>
    <x v="199"/>
    <x v="5"/>
    <n v="4.0999999999999996"/>
  </r>
  <r>
    <x v="280"/>
    <x v="23"/>
    <x v="4"/>
    <n v="43444.93"/>
    <x v="2"/>
    <n v="43444.93"/>
    <x v="200"/>
    <x v="2"/>
    <n v="4"/>
  </r>
  <r>
    <x v="281"/>
    <x v="20"/>
    <x v="3"/>
    <n v="36083.22"/>
    <x v="3"/>
    <n v="108249.66"/>
    <x v="41"/>
    <x v="4"/>
    <n v="2.9"/>
  </r>
  <r>
    <x v="282"/>
    <x v="4"/>
    <x v="4"/>
    <n v="43043.82"/>
    <x v="4"/>
    <n v="215219.1"/>
    <x v="201"/>
    <x v="2"/>
    <n v="4.0999999999999996"/>
  </r>
  <r>
    <x v="283"/>
    <x v="3"/>
    <x v="3"/>
    <n v="1517.63"/>
    <x v="1"/>
    <n v="6070.52"/>
    <x v="202"/>
    <x v="3"/>
    <n v="2"/>
  </r>
  <r>
    <x v="284"/>
    <x v="21"/>
    <x v="0"/>
    <n v="1626.1"/>
    <x v="4"/>
    <n v="8130.5"/>
    <x v="183"/>
    <x v="4"/>
    <n v="2.8"/>
  </r>
  <r>
    <x v="285"/>
    <x v="15"/>
    <x v="1"/>
    <n v="40384.620000000003"/>
    <x v="2"/>
    <n v="40384.620000000003"/>
    <x v="203"/>
    <x v="1"/>
    <n v="4.2"/>
  </r>
  <r>
    <x v="286"/>
    <x v="15"/>
    <x v="1"/>
    <n v="37295.08"/>
    <x v="2"/>
    <n v="37295.08"/>
    <x v="204"/>
    <x v="1"/>
    <n v="4"/>
  </r>
  <r>
    <x v="287"/>
    <x v="6"/>
    <x v="1"/>
    <n v="13915.5"/>
    <x v="3"/>
    <n v="41746.5"/>
    <x v="205"/>
    <x v="5"/>
    <n v="3.9"/>
  </r>
  <r>
    <x v="288"/>
    <x v="12"/>
    <x v="3"/>
    <n v="23625.05"/>
    <x v="0"/>
    <n v="47250.1"/>
    <x v="89"/>
    <x v="0"/>
    <n v="2"/>
  </r>
  <r>
    <x v="289"/>
    <x v="5"/>
    <x v="4"/>
    <n v="464.18"/>
    <x v="3"/>
    <n v="1392.54"/>
    <x v="144"/>
    <x v="0"/>
    <n v="4.0999999999999996"/>
  </r>
  <r>
    <x v="290"/>
    <x v="15"/>
    <x v="1"/>
    <n v="26667.15"/>
    <x v="0"/>
    <n v="53334.3"/>
    <x v="206"/>
    <x v="4"/>
    <n v="1.9"/>
  </r>
  <r>
    <x v="291"/>
    <x v="21"/>
    <x v="0"/>
    <n v="29093.02"/>
    <x v="0"/>
    <n v="58186.04"/>
    <x v="207"/>
    <x v="0"/>
    <n v="3.7"/>
  </r>
  <r>
    <x v="292"/>
    <x v="8"/>
    <x v="1"/>
    <n v="44770.65"/>
    <x v="3"/>
    <n v="134311.95000000001"/>
    <x v="191"/>
    <x v="2"/>
    <n v="3.5"/>
  </r>
  <r>
    <x v="293"/>
    <x v="16"/>
    <x v="4"/>
    <n v="32749.9"/>
    <x v="2"/>
    <n v="32749.9"/>
    <x v="144"/>
    <x v="5"/>
    <n v="3.8"/>
  </r>
  <r>
    <x v="294"/>
    <x v="0"/>
    <x v="0"/>
    <n v="4990.66"/>
    <x v="3"/>
    <n v="14971.98"/>
    <x v="76"/>
    <x v="2"/>
    <n v="4.5999999999999996"/>
  </r>
  <r>
    <x v="295"/>
    <x v="15"/>
    <x v="1"/>
    <n v="11044.89"/>
    <x v="3"/>
    <n v="33134.67"/>
    <x v="208"/>
    <x v="2"/>
    <n v="1.5"/>
  </r>
  <r>
    <x v="296"/>
    <x v="21"/>
    <x v="0"/>
    <n v="46032.160000000003"/>
    <x v="4"/>
    <n v="230160.8"/>
    <x v="209"/>
    <x v="0"/>
    <n v="4.4000000000000004"/>
  </r>
  <r>
    <x v="297"/>
    <x v="0"/>
    <x v="0"/>
    <n v="43965.67"/>
    <x v="3"/>
    <n v="131897.01"/>
    <x v="67"/>
    <x v="0"/>
    <n v="1.1000000000000001"/>
  </r>
  <r>
    <x v="298"/>
    <x v="15"/>
    <x v="1"/>
    <n v="6037.98"/>
    <x v="0"/>
    <n v="12075.96"/>
    <x v="99"/>
    <x v="3"/>
    <n v="3.6"/>
  </r>
  <r>
    <x v="299"/>
    <x v="13"/>
    <x v="0"/>
    <n v="22747.82"/>
    <x v="3"/>
    <n v="68243.460000000006"/>
    <x v="210"/>
    <x v="0"/>
    <n v="4.5"/>
  </r>
  <r>
    <x v="300"/>
    <x v="20"/>
    <x v="3"/>
    <n v="26615.919999999998"/>
    <x v="0"/>
    <n v="53231.839999999997"/>
    <x v="211"/>
    <x v="3"/>
    <n v="2.2999999999999998"/>
  </r>
  <r>
    <x v="301"/>
    <x v="2"/>
    <x v="2"/>
    <n v="48234.31"/>
    <x v="0"/>
    <n v="96468.62"/>
    <x v="212"/>
    <x v="0"/>
    <n v="1.8"/>
  </r>
  <r>
    <x v="302"/>
    <x v="7"/>
    <x v="4"/>
    <n v="24172.560000000001"/>
    <x v="2"/>
    <n v="24172.560000000001"/>
    <x v="130"/>
    <x v="1"/>
    <n v="3.1"/>
  </r>
  <r>
    <x v="303"/>
    <x v="21"/>
    <x v="0"/>
    <n v="16385.37"/>
    <x v="3"/>
    <n v="49156.11"/>
    <x v="182"/>
    <x v="2"/>
    <n v="1.6"/>
  </r>
  <r>
    <x v="304"/>
    <x v="15"/>
    <x v="1"/>
    <n v="29527.22"/>
    <x v="3"/>
    <n v="88581.66"/>
    <x v="13"/>
    <x v="3"/>
    <n v="1.2"/>
  </r>
  <r>
    <x v="305"/>
    <x v="7"/>
    <x v="4"/>
    <n v="42516.65"/>
    <x v="3"/>
    <n v="127549.95"/>
    <x v="62"/>
    <x v="5"/>
    <n v="1.8"/>
  </r>
  <r>
    <x v="306"/>
    <x v="13"/>
    <x v="0"/>
    <n v="27175.37"/>
    <x v="4"/>
    <n v="135876.85"/>
    <x v="144"/>
    <x v="3"/>
    <n v="3.9"/>
  </r>
  <r>
    <x v="307"/>
    <x v="24"/>
    <x v="1"/>
    <n v="25379.68"/>
    <x v="1"/>
    <n v="101518.72"/>
    <x v="185"/>
    <x v="2"/>
    <n v="3.5"/>
  </r>
  <r>
    <x v="308"/>
    <x v="0"/>
    <x v="0"/>
    <n v="29568.18"/>
    <x v="3"/>
    <n v="88704.54"/>
    <x v="83"/>
    <x v="4"/>
    <n v="1.3"/>
  </r>
  <r>
    <x v="309"/>
    <x v="21"/>
    <x v="0"/>
    <n v="23562.27"/>
    <x v="0"/>
    <n v="47124.54"/>
    <x v="97"/>
    <x v="4"/>
    <n v="4.9000000000000004"/>
  </r>
  <r>
    <x v="310"/>
    <x v="24"/>
    <x v="1"/>
    <n v="19134.259999999998"/>
    <x v="0"/>
    <n v="38268.519999999997"/>
    <x v="36"/>
    <x v="3"/>
    <n v="4.5999999999999996"/>
  </r>
  <r>
    <x v="311"/>
    <x v="21"/>
    <x v="0"/>
    <n v="10176.11"/>
    <x v="4"/>
    <n v="50880.55"/>
    <x v="173"/>
    <x v="5"/>
    <n v="2.1"/>
  </r>
  <r>
    <x v="312"/>
    <x v="18"/>
    <x v="3"/>
    <n v="48177.16"/>
    <x v="3"/>
    <n v="144531.48000000001"/>
    <x v="139"/>
    <x v="5"/>
    <n v="1.7"/>
  </r>
  <r>
    <x v="313"/>
    <x v="5"/>
    <x v="4"/>
    <n v="6119.31"/>
    <x v="4"/>
    <n v="30596.55"/>
    <x v="213"/>
    <x v="5"/>
    <n v="1.5"/>
  </r>
  <r>
    <x v="314"/>
    <x v="19"/>
    <x v="2"/>
    <n v="6015.13"/>
    <x v="2"/>
    <n v="6015.13"/>
    <x v="106"/>
    <x v="4"/>
    <n v="1.9"/>
  </r>
  <r>
    <x v="315"/>
    <x v="15"/>
    <x v="1"/>
    <n v="41198.839999999997"/>
    <x v="1"/>
    <n v="164795.35999999999"/>
    <x v="61"/>
    <x v="4"/>
    <n v="3"/>
  </r>
  <r>
    <x v="316"/>
    <x v="14"/>
    <x v="0"/>
    <n v="11527.7"/>
    <x v="3"/>
    <n v="34583.1"/>
    <x v="214"/>
    <x v="5"/>
    <n v="1.8"/>
  </r>
  <r>
    <x v="317"/>
    <x v="3"/>
    <x v="3"/>
    <n v="27749.19"/>
    <x v="1"/>
    <n v="110996.76"/>
    <x v="18"/>
    <x v="2"/>
    <n v="2.5"/>
  </r>
  <r>
    <x v="318"/>
    <x v="12"/>
    <x v="3"/>
    <n v="14014.82"/>
    <x v="2"/>
    <n v="14014.82"/>
    <x v="81"/>
    <x v="4"/>
    <n v="4.5999999999999996"/>
  </r>
  <r>
    <x v="319"/>
    <x v="12"/>
    <x v="3"/>
    <n v="23293.14"/>
    <x v="0"/>
    <n v="46586.28"/>
    <x v="161"/>
    <x v="1"/>
    <n v="4.0999999999999996"/>
  </r>
  <r>
    <x v="320"/>
    <x v="6"/>
    <x v="1"/>
    <n v="38592.49"/>
    <x v="4"/>
    <n v="192962.45"/>
    <x v="215"/>
    <x v="2"/>
    <n v="3.2"/>
  </r>
  <r>
    <x v="321"/>
    <x v="12"/>
    <x v="3"/>
    <n v="39898.86"/>
    <x v="2"/>
    <n v="39898.86"/>
    <x v="133"/>
    <x v="2"/>
    <n v="1.8"/>
  </r>
  <r>
    <x v="322"/>
    <x v="0"/>
    <x v="0"/>
    <n v="39842.5"/>
    <x v="0"/>
    <n v="79685"/>
    <x v="216"/>
    <x v="0"/>
    <n v="4.4000000000000004"/>
  </r>
  <r>
    <x v="323"/>
    <x v="21"/>
    <x v="0"/>
    <n v="30395.25"/>
    <x v="2"/>
    <n v="30395.25"/>
    <x v="217"/>
    <x v="3"/>
    <n v="1.1000000000000001"/>
  </r>
  <r>
    <x v="324"/>
    <x v="2"/>
    <x v="2"/>
    <n v="36560.32"/>
    <x v="4"/>
    <n v="182801.6"/>
    <x v="116"/>
    <x v="5"/>
    <n v="2.5"/>
  </r>
  <r>
    <x v="325"/>
    <x v="4"/>
    <x v="4"/>
    <n v="44248.09"/>
    <x v="2"/>
    <n v="44248.09"/>
    <x v="218"/>
    <x v="5"/>
    <n v="3.1"/>
  </r>
  <r>
    <x v="326"/>
    <x v="9"/>
    <x v="3"/>
    <n v="18386.259999999998"/>
    <x v="2"/>
    <n v="18386.259999999998"/>
    <x v="185"/>
    <x v="4"/>
    <n v="1.4"/>
  </r>
  <r>
    <x v="327"/>
    <x v="8"/>
    <x v="1"/>
    <n v="33683.4"/>
    <x v="2"/>
    <n v="33683.4"/>
    <x v="219"/>
    <x v="0"/>
    <n v="3.8"/>
  </r>
  <r>
    <x v="328"/>
    <x v="17"/>
    <x v="2"/>
    <n v="49561.57"/>
    <x v="3"/>
    <n v="148684.71"/>
    <x v="220"/>
    <x v="5"/>
    <n v="3.5"/>
  </r>
  <r>
    <x v="329"/>
    <x v="2"/>
    <x v="2"/>
    <n v="18551.650000000001"/>
    <x v="0"/>
    <n v="37103.300000000003"/>
    <x v="13"/>
    <x v="4"/>
    <n v="2.6"/>
  </r>
  <r>
    <x v="330"/>
    <x v="20"/>
    <x v="3"/>
    <n v="12249.35"/>
    <x v="4"/>
    <n v="61246.75"/>
    <x v="221"/>
    <x v="2"/>
    <n v="2.9"/>
  </r>
  <r>
    <x v="331"/>
    <x v="1"/>
    <x v="1"/>
    <n v="35305.39"/>
    <x v="2"/>
    <n v="35305.39"/>
    <x v="32"/>
    <x v="1"/>
    <n v="2.2000000000000002"/>
  </r>
  <r>
    <x v="332"/>
    <x v="3"/>
    <x v="3"/>
    <n v="16790.46"/>
    <x v="4"/>
    <n v="83952.3"/>
    <x v="222"/>
    <x v="5"/>
    <n v="4.3"/>
  </r>
  <r>
    <x v="333"/>
    <x v="8"/>
    <x v="1"/>
    <n v="26096.959999999999"/>
    <x v="1"/>
    <n v="104387.84"/>
    <x v="179"/>
    <x v="0"/>
    <n v="3.5"/>
  </r>
  <r>
    <x v="334"/>
    <x v="22"/>
    <x v="0"/>
    <n v="34361.96"/>
    <x v="4"/>
    <n v="171809.8"/>
    <x v="15"/>
    <x v="5"/>
    <n v="4.4000000000000004"/>
  </r>
  <r>
    <x v="335"/>
    <x v="7"/>
    <x v="4"/>
    <n v="46079.49"/>
    <x v="4"/>
    <n v="230397.45"/>
    <x v="223"/>
    <x v="5"/>
    <n v="3.7"/>
  </r>
  <r>
    <x v="336"/>
    <x v="5"/>
    <x v="4"/>
    <n v="47053.440000000002"/>
    <x v="0"/>
    <n v="94106.880000000005"/>
    <x v="224"/>
    <x v="3"/>
    <n v="3"/>
  </r>
  <r>
    <x v="337"/>
    <x v="9"/>
    <x v="3"/>
    <n v="18905.939999999999"/>
    <x v="3"/>
    <n v="56717.82"/>
    <x v="225"/>
    <x v="1"/>
    <n v="4.5"/>
  </r>
  <r>
    <x v="338"/>
    <x v="17"/>
    <x v="2"/>
    <n v="30977.18"/>
    <x v="3"/>
    <n v="92931.54"/>
    <x v="3"/>
    <x v="1"/>
    <n v="3.3"/>
  </r>
  <r>
    <x v="339"/>
    <x v="7"/>
    <x v="4"/>
    <n v="41841.57"/>
    <x v="0"/>
    <n v="83683.14"/>
    <x v="102"/>
    <x v="3"/>
    <n v="1.1000000000000001"/>
  </r>
  <r>
    <x v="340"/>
    <x v="18"/>
    <x v="3"/>
    <n v="4277.1499999999996"/>
    <x v="1"/>
    <n v="17108.599999999999"/>
    <x v="172"/>
    <x v="3"/>
    <n v="2.1"/>
  </r>
  <r>
    <x v="341"/>
    <x v="23"/>
    <x v="4"/>
    <n v="15648.85"/>
    <x v="0"/>
    <n v="31297.7"/>
    <x v="115"/>
    <x v="4"/>
    <n v="4.4000000000000004"/>
  </r>
  <r>
    <x v="342"/>
    <x v="20"/>
    <x v="3"/>
    <n v="26992.720000000001"/>
    <x v="3"/>
    <n v="80978.16"/>
    <x v="40"/>
    <x v="2"/>
    <n v="1.1000000000000001"/>
  </r>
  <r>
    <x v="343"/>
    <x v="20"/>
    <x v="3"/>
    <n v="49586.31"/>
    <x v="1"/>
    <n v="198345.24"/>
    <x v="226"/>
    <x v="1"/>
    <n v="4.3"/>
  </r>
  <r>
    <x v="344"/>
    <x v="9"/>
    <x v="3"/>
    <n v="37181.040000000001"/>
    <x v="2"/>
    <n v="37181.040000000001"/>
    <x v="103"/>
    <x v="2"/>
    <n v="1.2"/>
  </r>
  <r>
    <x v="345"/>
    <x v="6"/>
    <x v="1"/>
    <n v="46090.65"/>
    <x v="1"/>
    <n v="184362.6"/>
    <x v="227"/>
    <x v="1"/>
    <n v="3.3"/>
  </r>
  <r>
    <x v="346"/>
    <x v="0"/>
    <x v="0"/>
    <n v="48151.09"/>
    <x v="1"/>
    <n v="192604.36"/>
    <x v="22"/>
    <x v="1"/>
    <n v="2.9"/>
  </r>
  <r>
    <x v="347"/>
    <x v="3"/>
    <x v="3"/>
    <n v="8197.4699999999993"/>
    <x v="0"/>
    <n v="16394.939999999999"/>
    <x v="228"/>
    <x v="2"/>
    <n v="3"/>
  </r>
  <r>
    <x v="348"/>
    <x v="4"/>
    <x v="4"/>
    <n v="40679.29"/>
    <x v="0"/>
    <n v="81358.58"/>
    <x v="196"/>
    <x v="2"/>
    <n v="1.5"/>
  </r>
  <r>
    <x v="349"/>
    <x v="10"/>
    <x v="2"/>
    <n v="45012.71"/>
    <x v="3"/>
    <n v="135038.13"/>
    <x v="229"/>
    <x v="1"/>
    <n v="4.9000000000000004"/>
  </r>
  <r>
    <x v="350"/>
    <x v="10"/>
    <x v="2"/>
    <n v="5127.0200000000004"/>
    <x v="3"/>
    <n v="15381.06"/>
    <x v="197"/>
    <x v="0"/>
    <n v="4.5"/>
  </r>
  <r>
    <x v="351"/>
    <x v="18"/>
    <x v="3"/>
    <n v="13954.48"/>
    <x v="3"/>
    <n v="41863.440000000002"/>
    <x v="83"/>
    <x v="1"/>
    <n v="1.5"/>
  </r>
  <r>
    <x v="352"/>
    <x v="15"/>
    <x v="1"/>
    <n v="26166.89"/>
    <x v="1"/>
    <n v="104667.56"/>
    <x v="187"/>
    <x v="4"/>
    <n v="3.7"/>
  </r>
  <r>
    <x v="353"/>
    <x v="17"/>
    <x v="2"/>
    <n v="45072.69"/>
    <x v="0"/>
    <n v="90145.38"/>
    <x v="230"/>
    <x v="2"/>
    <n v="2.6"/>
  </r>
  <r>
    <x v="354"/>
    <x v="15"/>
    <x v="1"/>
    <n v="33543.19"/>
    <x v="0"/>
    <n v="67086.38"/>
    <x v="231"/>
    <x v="1"/>
    <n v="3.7"/>
  </r>
  <r>
    <x v="355"/>
    <x v="22"/>
    <x v="0"/>
    <n v="34116.230000000003"/>
    <x v="3"/>
    <n v="102348.69"/>
    <x v="232"/>
    <x v="2"/>
    <n v="1.4"/>
  </r>
  <r>
    <x v="356"/>
    <x v="22"/>
    <x v="0"/>
    <n v="15466.4"/>
    <x v="4"/>
    <n v="77332"/>
    <x v="136"/>
    <x v="2"/>
    <n v="2.9"/>
  </r>
  <r>
    <x v="357"/>
    <x v="18"/>
    <x v="3"/>
    <n v="19879.400000000001"/>
    <x v="1"/>
    <n v="79517.600000000006"/>
    <x v="233"/>
    <x v="0"/>
    <n v="3.2"/>
  </r>
  <r>
    <x v="358"/>
    <x v="23"/>
    <x v="4"/>
    <n v="11914.15"/>
    <x v="0"/>
    <n v="23828.3"/>
    <x v="32"/>
    <x v="2"/>
    <n v="2.4"/>
  </r>
  <r>
    <x v="359"/>
    <x v="24"/>
    <x v="1"/>
    <n v="7936.32"/>
    <x v="1"/>
    <n v="31745.279999999999"/>
    <x v="234"/>
    <x v="4"/>
    <n v="1.5"/>
  </r>
  <r>
    <x v="360"/>
    <x v="0"/>
    <x v="0"/>
    <n v="7633.85"/>
    <x v="0"/>
    <n v="15267.7"/>
    <x v="186"/>
    <x v="5"/>
    <n v="3.8"/>
  </r>
  <r>
    <x v="361"/>
    <x v="2"/>
    <x v="2"/>
    <n v="2470.8200000000002"/>
    <x v="1"/>
    <n v="9883.2800000000007"/>
    <x v="235"/>
    <x v="1"/>
    <n v="2"/>
  </r>
  <r>
    <x v="362"/>
    <x v="23"/>
    <x v="4"/>
    <n v="908.47"/>
    <x v="3"/>
    <n v="2725.41"/>
    <x v="122"/>
    <x v="3"/>
    <n v="4.5999999999999996"/>
  </r>
  <r>
    <x v="363"/>
    <x v="7"/>
    <x v="4"/>
    <n v="14102.56"/>
    <x v="1"/>
    <n v="56410.239999999998"/>
    <x v="210"/>
    <x v="3"/>
    <n v="2.9"/>
  </r>
  <r>
    <x v="364"/>
    <x v="18"/>
    <x v="3"/>
    <n v="23287.93"/>
    <x v="1"/>
    <n v="93151.72"/>
    <x v="225"/>
    <x v="0"/>
    <n v="2"/>
  </r>
  <r>
    <x v="365"/>
    <x v="5"/>
    <x v="4"/>
    <n v="41333.21"/>
    <x v="2"/>
    <n v="41333.21"/>
    <x v="84"/>
    <x v="5"/>
    <n v="4"/>
  </r>
  <r>
    <x v="366"/>
    <x v="0"/>
    <x v="0"/>
    <n v="35304.99"/>
    <x v="2"/>
    <n v="35304.99"/>
    <x v="128"/>
    <x v="3"/>
    <n v="2"/>
  </r>
  <r>
    <x v="367"/>
    <x v="1"/>
    <x v="1"/>
    <n v="22335.58"/>
    <x v="0"/>
    <n v="44671.16"/>
    <x v="34"/>
    <x v="2"/>
    <n v="3.8"/>
  </r>
  <r>
    <x v="368"/>
    <x v="4"/>
    <x v="4"/>
    <n v="40486.080000000002"/>
    <x v="4"/>
    <n v="202430.4"/>
    <x v="236"/>
    <x v="2"/>
    <n v="3.6"/>
  </r>
  <r>
    <x v="369"/>
    <x v="0"/>
    <x v="0"/>
    <n v="20353.400000000001"/>
    <x v="2"/>
    <n v="20353.400000000001"/>
    <x v="89"/>
    <x v="1"/>
    <n v="2.9"/>
  </r>
  <r>
    <x v="370"/>
    <x v="18"/>
    <x v="3"/>
    <n v="2258.27"/>
    <x v="3"/>
    <n v="6774.81"/>
    <x v="151"/>
    <x v="2"/>
    <n v="4.8"/>
  </r>
  <r>
    <x v="371"/>
    <x v="12"/>
    <x v="3"/>
    <n v="704.55"/>
    <x v="4"/>
    <n v="3522.75"/>
    <x v="237"/>
    <x v="0"/>
    <n v="4"/>
  </r>
  <r>
    <x v="372"/>
    <x v="7"/>
    <x v="4"/>
    <n v="38629"/>
    <x v="2"/>
    <n v="38629"/>
    <x v="30"/>
    <x v="5"/>
    <n v="4"/>
  </r>
  <r>
    <x v="373"/>
    <x v="21"/>
    <x v="0"/>
    <n v="37303.26"/>
    <x v="1"/>
    <n v="149213.04"/>
    <x v="238"/>
    <x v="3"/>
    <n v="2.9"/>
  </r>
  <r>
    <x v="374"/>
    <x v="12"/>
    <x v="3"/>
    <n v="11507.22"/>
    <x v="1"/>
    <n v="46028.88"/>
    <x v="239"/>
    <x v="0"/>
    <n v="1.4"/>
  </r>
  <r>
    <x v="375"/>
    <x v="7"/>
    <x v="4"/>
    <n v="48710.25"/>
    <x v="2"/>
    <n v="48710.25"/>
    <x v="185"/>
    <x v="4"/>
    <n v="1.7"/>
  </r>
  <r>
    <x v="376"/>
    <x v="0"/>
    <x v="0"/>
    <n v="20075.810000000001"/>
    <x v="2"/>
    <n v="20075.810000000001"/>
    <x v="240"/>
    <x v="0"/>
    <n v="4.9000000000000004"/>
  </r>
  <r>
    <x v="377"/>
    <x v="13"/>
    <x v="0"/>
    <n v="8448.77"/>
    <x v="0"/>
    <n v="16897.54"/>
    <x v="241"/>
    <x v="1"/>
    <n v="3.8"/>
  </r>
  <r>
    <x v="378"/>
    <x v="6"/>
    <x v="1"/>
    <n v="29310.76"/>
    <x v="1"/>
    <n v="117243.04"/>
    <x v="242"/>
    <x v="2"/>
    <n v="4.4000000000000004"/>
  </r>
  <r>
    <x v="379"/>
    <x v="0"/>
    <x v="0"/>
    <n v="708.78"/>
    <x v="1"/>
    <n v="2835.12"/>
    <x v="132"/>
    <x v="3"/>
    <n v="2"/>
  </r>
  <r>
    <x v="380"/>
    <x v="8"/>
    <x v="1"/>
    <n v="24062.33"/>
    <x v="1"/>
    <n v="96249.32"/>
    <x v="243"/>
    <x v="0"/>
    <n v="1.1000000000000001"/>
  </r>
  <r>
    <x v="381"/>
    <x v="6"/>
    <x v="1"/>
    <n v="27827.66"/>
    <x v="2"/>
    <n v="27827.66"/>
    <x v="170"/>
    <x v="3"/>
    <n v="4.5"/>
  </r>
  <r>
    <x v="382"/>
    <x v="3"/>
    <x v="3"/>
    <n v="40862.870000000003"/>
    <x v="0"/>
    <n v="81725.740000000005"/>
    <x v="188"/>
    <x v="0"/>
    <n v="1.4"/>
  </r>
  <r>
    <x v="383"/>
    <x v="6"/>
    <x v="1"/>
    <n v="11399.26"/>
    <x v="0"/>
    <n v="22798.52"/>
    <x v="244"/>
    <x v="5"/>
    <n v="1"/>
  </r>
  <r>
    <x v="384"/>
    <x v="17"/>
    <x v="2"/>
    <n v="5463.13"/>
    <x v="2"/>
    <n v="5463.13"/>
    <x v="69"/>
    <x v="0"/>
    <n v="3.9"/>
  </r>
  <r>
    <x v="385"/>
    <x v="13"/>
    <x v="0"/>
    <n v="8644.99"/>
    <x v="4"/>
    <n v="43224.95"/>
    <x v="245"/>
    <x v="0"/>
    <n v="4.3"/>
  </r>
  <r>
    <x v="386"/>
    <x v="20"/>
    <x v="3"/>
    <n v="27481.15"/>
    <x v="0"/>
    <n v="54962.3"/>
    <x v="75"/>
    <x v="3"/>
    <n v="3.2"/>
  </r>
  <r>
    <x v="387"/>
    <x v="22"/>
    <x v="0"/>
    <n v="47819.23"/>
    <x v="1"/>
    <n v="191276.92"/>
    <x v="133"/>
    <x v="2"/>
    <n v="1.1000000000000001"/>
  </r>
  <r>
    <x v="388"/>
    <x v="11"/>
    <x v="2"/>
    <n v="7145.81"/>
    <x v="1"/>
    <n v="28583.24"/>
    <x v="231"/>
    <x v="2"/>
    <n v="1.9"/>
  </r>
  <r>
    <x v="389"/>
    <x v="20"/>
    <x v="3"/>
    <n v="29847.4"/>
    <x v="3"/>
    <n v="89542.2"/>
    <x v="246"/>
    <x v="0"/>
    <n v="2.9"/>
  </r>
  <r>
    <x v="390"/>
    <x v="11"/>
    <x v="2"/>
    <n v="11186.35"/>
    <x v="0"/>
    <n v="22372.7"/>
    <x v="114"/>
    <x v="3"/>
    <n v="1.1000000000000001"/>
  </r>
  <r>
    <x v="391"/>
    <x v="0"/>
    <x v="0"/>
    <n v="36535.74"/>
    <x v="3"/>
    <n v="109607.22"/>
    <x v="205"/>
    <x v="1"/>
    <n v="1.2"/>
  </r>
  <r>
    <x v="392"/>
    <x v="6"/>
    <x v="1"/>
    <n v="12046.9"/>
    <x v="3"/>
    <n v="36140.699999999997"/>
    <x v="127"/>
    <x v="3"/>
    <n v="3.2"/>
  </r>
  <r>
    <x v="393"/>
    <x v="17"/>
    <x v="2"/>
    <n v="7043.51"/>
    <x v="1"/>
    <n v="28174.04"/>
    <x v="247"/>
    <x v="1"/>
    <n v="2.2999999999999998"/>
  </r>
  <r>
    <x v="394"/>
    <x v="6"/>
    <x v="1"/>
    <n v="34369.57"/>
    <x v="1"/>
    <n v="137478.28"/>
    <x v="34"/>
    <x v="5"/>
    <n v="1.6"/>
  </r>
  <r>
    <x v="395"/>
    <x v="6"/>
    <x v="1"/>
    <n v="4827.49"/>
    <x v="3"/>
    <n v="14482.47"/>
    <x v="248"/>
    <x v="0"/>
    <n v="4.2"/>
  </r>
  <r>
    <x v="396"/>
    <x v="11"/>
    <x v="2"/>
    <n v="14851.66"/>
    <x v="0"/>
    <n v="29703.32"/>
    <x v="219"/>
    <x v="0"/>
    <n v="1.9"/>
  </r>
  <r>
    <x v="397"/>
    <x v="8"/>
    <x v="1"/>
    <n v="40248.269999999997"/>
    <x v="3"/>
    <n v="120744.81"/>
    <x v="249"/>
    <x v="2"/>
    <n v="3.9"/>
  </r>
  <r>
    <x v="398"/>
    <x v="1"/>
    <x v="1"/>
    <n v="37135.360000000001"/>
    <x v="0"/>
    <n v="74270.720000000001"/>
    <x v="97"/>
    <x v="5"/>
    <n v="3"/>
  </r>
  <r>
    <x v="399"/>
    <x v="19"/>
    <x v="2"/>
    <n v="25794.78"/>
    <x v="4"/>
    <n v="128973.9"/>
    <x v="250"/>
    <x v="0"/>
    <n v="1"/>
  </r>
  <r>
    <x v="400"/>
    <x v="19"/>
    <x v="2"/>
    <n v="47564.29"/>
    <x v="3"/>
    <n v="142692.87"/>
    <x v="82"/>
    <x v="5"/>
    <n v="3.5"/>
  </r>
  <r>
    <x v="401"/>
    <x v="5"/>
    <x v="4"/>
    <n v="5500.92"/>
    <x v="3"/>
    <n v="16502.759999999998"/>
    <x v="251"/>
    <x v="0"/>
    <n v="2.2999999999999998"/>
  </r>
  <r>
    <x v="402"/>
    <x v="13"/>
    <x v="0"/>
    <n v="904.29"/>
    <x v="0"/>
    <n v="1808.58"/>
    <x v="31"/>
    <x v="0"/>
    <n v="3.5"/>
  </r>
  <r>
    <x v="403"/>
    <x v="3"/>
    <x v="3"/>
    <n v="25035.46"/>
    <x v="0"/>
    <n v="50070.92"/>
    <x v="252"/>
    <x v="0"/>
    <n v="4.5"/>
  </r>
  <r>
    <x v="404"/>
    <x v="6"/>
    <x v="1"/>
    <n v="30156.36"/>
    <x v="4"/>
    <n v="150781.79999999999"/>
    <x v="16"/>
    <x v="1"/>
    <n v="4.4000000000000004"/>
  </r>
  <r>
    <x v="405"/>
    <x v="8"/>
    <x v="1"/>
    <n v="42189.9"/>
    <x v="2"/>
    <n v="42189.9"/>
    <x v="83"/>
    <x v="4"/>
    <n v="3.4"/>
  </r>
  <r>
    <x v="406"/>
    <x v="1"/>
    <x v="1"/>
    <n v="41122.81"/>
    <x v="0"/>
    <n v="82245.62"/>
    <x v="72"/>
    <x v="5"/>
    <n v="4.8"/>
  </r>
  <r>
    <x v="407"/>
    <x v="15"/>
    <x v="1"/>
    <n v="21705.78"/>
    <x v="2"/>
    <n v="21705.78"/>
    <x v="157"/>
    <x v="3"/>
    <n v="1.1000000000000001"/>
  </r>
  <r>
    <x v="408"/>
    <x v="20"/>
    <x v="3"/>
    <n v="28391.65"/>
    <x v="3"/>
    <n v="85174.95"/>
    <x v="180"/>
    <x v="0"/>
    <n v="2.5"/>
  </r>
  <r>
    <x v="409"/>
    <x v="5"/>
    <x v="4"/>
    <n v="40031.86"/>
    <x v="0"/>
    <n v="80063.72"/>
    <x v="253"/>
    <x v="3"/>
    <n v="1.9"/>
  </r>
  <r>
    <x v="410"/>
    <x v="5"/>
    <x v="4"/>
    <n v="41248.019999999997"/>
    <x v="1"/>
    <n v="164992.07999999999"/>
    <x v="83"/>
    <x v="4"/>
    <n v="2.6"/>
  </r>
  <r>
    <x v="411"/>
    <x v="19"/>
    <x v="2"/>
    <n v="35325.379999999997"/>
    <x v="0"/>
    <n v="70650.759999999995"/>
    <x v="2"/>
    <x v="1"/>
    <n v="4.0999999999999996"/>
  </r>
  <r>
    <x v="412"/>
    <x v="5"/>
    <x v="4"/>
    <n v="45866.22"/>
    <x v="2"/>
    <n v="45866.22"/>
    <x v="254"/>
    <x v="3"/>
    <n v="3.9"/>
  </r>
  <r>
    <x v="413"/>
    <x v="24"/>
    <x v="1"/>
    <n v="42975.360000000001"/>
    <x v="1"/>
    <n v="171901.44"/>
    <x v="255"/>
    <x v="3"/>
    <n v="3.3"/>
  </r>
  <r>
    <x v="414"/>
    <x v="9"/>
    <x v="3"/>
    <n v="7532.86"/>
    <x v="4"/>
    <n v="37664.300000000003"/>
    <x v="197"/>
    <x v="1"/>
    <n v="1.5"/>
  </r>
  <r>
    <x v="415"/>
    <x v="2"/>
    <x v="2"/>
    <n v="39931.75"/>
    <x v="1"/>
    <n v="159727"/>
    <x v="249"/>
    <x v="4"/>
    <n v="2.4"/>
  </r>
  <r>
    <x v="416"/>
    <x v="20"/>
    <x v="3"/>
    <n v="20760.439999999999"/>
    <x v="1"/>
    <n v="83041.759999999995"/>
    <x v="248"/>
    <x v="3"/>
    <n v="2.4"/>
  </r>
  <r>
    <x v="417"/>
    <x v="15"/>
    <x v="1"/>
    <n v="29466.3"/>
    <x v="4"/>
    <n v="147331.5"/>
    <x v="22"/>
    <x v="5"/>
    <n v="1.3"/>
  </r>
  <r>
    <x v="418"/>
    <x v="2"/>
    <x v="2"/>
    <n v="756.85"/>
    <x v="3"/>
    <n v="2270.5500000000002"/>
    <x v="177"/>
    <x v="1"/>
    <n v="4.8"/>
  </r>
  <r>
    <x v="419"/>
    <x v="3"/>
    <x v="3"/>
    <n v="43711.45"/>
    <x v="1"/>
    <n v="174845.8"/>
    <x v="33"/>
    <x v="2"/>
    <n v="4.5"/>
  </r>
  <r>
    <x v="420"/>
    <x v="13"/>
    <x v="0"/>
    <n v="1134.78"/>
    <x v="0"/>
    <n v="2269.56"/>
    <x v="256"/>
    <x v="0"/>
    <n v="3.9"/>
  </r>
  <r>
    <x v="421"/>
    <x v="23"/>
    <x v="4"/>
    <n v="6859"/>
    <x v="3"/>
    <n v="20577"/>
    <x v="157"/>
    <x v="5"/>
    <n v="1.6"/>
  </r>
  <r>
    <x v="422"/>
    <x v="22"/>
    <x v="0"/>
    <n v="28818.74"/>
    <x v="3"/>
    <n v="86456.22"/>
    <x v="33"/>
    <x v="0"/>
    <n v="1.4"/>
  </r>
  <r>
    <x v="423"/>
    <x v="18"/>
    <x v="3"/>
    <n v="25233.95"/>
    <x v="1"/>
    <n v="100935.8"/>
    <x v="257"/>
    <x v="3"/>
    <n v="4.0999999999999996"/>
  </r>
  <r>
    <x v="424"/>
    <x v="0"/>
    <x v="0"/>
    <n v="28577.34"/>
    <x v="2"/>
    <n v="28577.34"/>
    <x v="258"/>
    <x v="1"/>
    <n v="2.7"/>
  </r>
  <r>
    <x v="425"/>
    <x v="16"/>
    <x v="4"/>
    <n v="7322.87"/>
    <x v="3"/>
    <n v="21968.61"/>
    <x v="259"/>
    <x v="3"/>
    <n v="5"/>
  </r>
  <r>
    <x v="426"/>
    <x v="21"/>
    <x v="0"/>
    <n v="25144.48"/>
    <x v="1"/>
    <n v="100577.92"/>
    <x v="260"/>
    <x v="5"/>
    <n v="1.3"/>
  </r>
  <r>
    <x v="427"/>
    <x v="5"/>
    <x v="4"/>
    <n v="16289.17"/>
    <x v="4"/>
    <n v="81445.850000000006"/>
    <x v="159"/>
    <x v="5"/>
    <n v="2.6"/>
  </r>
  <r>
    <x v="428"/>
    <x v="13"/>
    <x v="0"/>
    <n v="24973.13"/>
    <x v="3"/>
    <n v="74919.39"/>
    <x v="209"/>
    <x v="0"/>
    <n v="3.2"/>
  </r>
  <r>
    <x v="429"/>
    <x v="4"/>
    <x v="4"/>
    <n v="5804.38"/>
    <x v="0"/>
    <n v="11608.76"/>
    <x v="52"/>
    <x v="3"/>
    <n v="2.2000000000000002"/>
  </r>
  <r>
    <x v="430"/>
    <x v="1"/>
    <x v="1"/>
    <n v="43502.85"/>
    <x v="2"/>
    <n v="43502.85"/>
    <x v="261"/>
    <x v="5"/>
    <n v="4.2"/>
  </r>
  <r>
    <x v="431"/>
    <x v="12"/>
    <x v="3"/>
    <n v="46770.01"/>
    <x v="4"/>
    <n v="233850.05"/>
    <x v="262"/>
    <x v="5"/>
    <n v="2.9"/>
  </r>
  <r>
    <x v="432"/>
    <x v="18"/>
    <x v="3"/>
    <n v="38160.980000000003"/>
    <x v="0"/>
    <n v="76321.960000000006"/>
    <x v="263"/>
    <x v="0"/>
    <n v="4"/>
  </r>
  <r>
    <x v="433"/>
    <x v="20"/>
    <x v="3"/>
    <n v="14797.27"/>
    <x v="0"/>
    <n v="29594.54"/>
    <x v="227"/>
    <x v="1"/>
    <n v="3.4"/>
  </r>
  <r>
    <x v="434"/>
    <x v="19"/>
    <x v="2"/>
    <n v="16951.57"/>
    <x v="4"/>
    <n v="84757.85"/>
    <x v="179"/>
    <x v="2"/>
    <n v="2"/>
  </r>
  <r>
    <x v="435"/>
    <x v="12"/>
    <x v="3"/>
    <n v="20087.650000000001"/>
    <x v="0"/>
    <n v="40175.300000000003"/>
    <x v="75"/>
    <x v="2"/>
    <n v="2.7"/>
  </r>
  <r>
    <x v="436"/>
    <x v="2"/>
    <x v="2"/>
    <n v="45544.54"/>
    <x v="1"/>
    <n v="182178.16"/>
    <x v="264"/>
    <x v="3"/>
    <n v="3"/>
  </r>
  <r>
    <x v="437"/>
    <x v="19"/>
    <x v="2"/>
    <n v="4986.8999999999996"/>
    <x v="2"/>
    <n v="4986.8999999999996"/>
    <x v="97"/>
    <x v="3"/>
    <n v="4.4000000000000004"/>
  </r>
  <r>
    <x v="438"/>
    <x v="16"/>
    <x v="4"/>
    <n v="37890.559999999998"/>
    <x v="2"/>
    <n v="37890.559999999998"/>
    <x v="69"/>
    <x v="3"/>
    <n v="2.4"/>
  </r>
  <r>
    <x v="439"/>
    <x v="9"/>
    <x v="3"/>
    <n v="26947.54"/>
    <x v="0"/>
    <n v="53895.08"/>
    <x v="224"/>
    <x v="5"/>
    <n v="4.0999999999999996"/>
  </r>
  <r>
    <x v="440"/>
    <x v="20"/>
    <x v="3"/>
    <n v="16929.740000000002"/>
    <x v="3"/>
    <n v="50789.22"/>
    <x v="265"/>
    <x v="2"/>
    <n v="1.5"/>
  </r>
  <r>
    <x v="441"/>
    <x v="12"/>
    <x v="3"/>
    <n v="30310.92"/>
    <x v="3"/>
    <n v="90932.76"/>
    <x v="112"/>
    <x v="1"/>
    <n v="3.5"/>
  </r>
  <r>
    <x v="442"/>
    <x v="0"/>
    <x v="0"/>
    <n v="33643.5"/>
    <x v="4"/>
    <n v="168217.5"/>
    <x v="175"/>
    <x v="1"/>
    <n v="4.2"/>
  </r>
  <r>
    <x v="443"/>
    <x v="14"/>
    <x v="0"/>
    <n v="27847.81"/>
    <x v="3"/>
    <n v="83543.429999999993"/>
    <x v="266"/>
    <x v="5"/>
    <n v="4.3"/>
  </r>
  <r>
    <x v="444"/>
    <x v="0"/>
    <x v="0"/>
    <n v="19055.03"/>
    <x v="3"/>
    <n v="57165.09"/>
    <x v="67"/>
    <x v="4"/>
    <n v="4.3"/>
  </r>
  <r>
    <x v="445"/>
    <x v="22"/>
    <x v="0"/>
    <n v="24012.7"/>
    <x v="2"/>
    <n v="24012.7"/>
    <x v="236"/>
    <x v="4"/>
    <n v="4.8"/>
  </r>
  <r>
    <x v="446"/>
    <x v="6"/>
    <x v="1"/>
    <n v="8182.19"/>
    <x v="0"/>
    <n v="16364.38"/>
    <x v="95"/>
    <x v="3"/>
    <n v="4.2"/>
  </r>
  <r>
    <x v="447"/>
    <x v="17"/>
    <x v="2"/>
    <n v="35810.629999999997"/>
    <x v="1"/>
    <n v="143242.51999999999"/>
    <x v="164"/>
    <x v="1"/>
    <n v="1.2"/>
  </r>
  <r>
    <x v="448"/>
    <x v="15"/>
    <x v="1"/>
    <n v="23433.86"/>
    <x v="2"/>
    <n v="23433.86"/>
    <x v="173"/>
    <x v="3"/>
    <n v="3.8"/>
  </r>
  <r>
    <x v="449"/>
    <x v="9"/>
    <x v="3"/>
    <n v="42946.11"/>
    <x v="1"/>
    <n v="171784.44"/>
    <x v="140"/>
    <x v="1"/>
    <n v="3.2"/>
  </r>
  <r>
    <x v="450"/>
    <x v="6"/>
    <x v="1"/>
    <n v="3995.44"/>
    <x v="1"/>
    <n v="15981.76"/>
    <x v="235"/>
    <x v="0"/>
    <n v="4"/>
  </r>
  <r>
    <x v="451"/>
    <x v="2"/>
    <x v="2"/>
    <n v="38728.75"/>
    <x v="2"/>
    <n v="38728.75"/>
    <x v="157"/>
    <x v="2"/>
    <n v="4"/>
  </r>
  <r>
    <x v="452"/>
    <x v="8"/>
    <x v="1"/>
    <n v="46205.47"/>
    <x v="3"/>
    <n v="138616.41"/>
    <x v="65"/>
    <x v="4"/>
    <n v="2.7"/>
  </r>
  <r>
    <x v="453"/>
    <x v="1"/>
    <x v="1"/>
    <n v="7631.48"/>
    <x v="3"/>
    <n v="22894.44"/>
    <x v="100"/>
    <x v="0"/>
    <n v="3"/>
  </r>
  <r>
    <x v="454"/>
    <x v="13"/>
    <x v="0"/>
    <n v="4581.7299999999996"/>
    <x v="1"/>
    <n v="18326.919999999998"/>
    <x v="267"/>
    <x v="4"/>
    <n v="3.4"/>
  </r>
  <r>
    <x v="455"/>
    <x v="9"/>
    <x v="3"/>
    <n v="9761.64"/>
    <x v="3"/>
    <n v="29284.92"/>
    <x v="222"/>
    <x v="2"/>
    <n v="2.5"/>
  </r>
  <r>
    <x v="456"/>
    <x v="17"/>
    <x v="2"/>
    <n v="1582.84"/>
    <x v="3"/>
    <n v="4748.5200000000004"/>
    <x v="45"/>
    <x v="0"/>
    <n v="2.9"/>
  </r>
  <r>
    <x v="457"/>
    <x v="18"/>
    <x v="3"/>
    <n v="8902.26"/>
    <x v="4"/>
    <n v="44511.3"/>
    <x v="219"/>
    <x v="0"/>
    <n v="2.4"/>
  </r>
  <r>
    <x v="458"/>
    <x v="23"/>
    <x v="4"/>
    <n v="1549.63"/>
    <x v="2"/>
    <n v="1549.63"/>
    <x v="268"/>
    <x v="3"/>
    <n v="3"/>
  </r>
  <r>
    <x v="459"/>
    <x v="0"/>
    <x v="0"/>
    <n v="23520.5"/>
    <x v="4"/>
    <n v="117602.5"/>
    <x v="269"/>
    <x v="0"/>
    <n v="1.2"/>
  </r>
  <r>
    <x v="460"/>
    <x v="2"/>
    <x v="2"/>
    <n v="18729.61"/>
    <x v="2"/>
    <n v="18729.61"/>
    <x v="220"/>
    <x v="3"/>
    <n v="1"/>
  </r>
  <r>
    <x v="461"/>
    <x v="22"/>
    <x v="0"/>
    <n v="18085.73"/>
    <x v="3"/>
    <n v="54257.19"/>
    <x v="270"/>
    <x v="5"/>
    <n v="4.0999999999999996"/>
  </r>
  <r>
    <x v="462"/>
    <x v="11"/>
    <x v="2"/>
    <n v="29844.59"/>
    <x v="3"/>
    <n v="89533.77"/>
    <x v="78"/>
    <x v="4"/>
    <n v="3.9"/>
  </r>
  <r>
    <x v="463"/>
    <x v="9"/>
    <x v="3"/>
    <n v="12964.52"/>
    <x v="0"/>
    <n v="25929.040000000001"/>
    <x v="81"/>
    <x v="2"/>
    <n v="2.7"/>
  </r>
  <r>
    <x v="464"/>
    <x v="9"/>
    <x v="3"/>
    <n v="43431.64"/>
    <x v="4"/>
    <n v="217158.2"/>
    <x v="271"/>
    <x v="4"/>
    <n v="4.4000000000000004"/>
  </r>
  <r>
    <x v="465"/>
    <x v="3"/>
    <x v="3"/>
    <n v="31005.06"/>
    <x v="1"/>
    <n v="124020.24"/>
    <x v="135"/>
    <x v="5"/>
    <n v="4"/>
  </r>
  <r>
    <x v="466"/>
    <x v="2"/>
    <x v="2"/>
    <n v="16010.24"/>
    <x v="3"/>
    <n v="48030.720000000001"/>
    <x v="126"/>
    <x v="5"/>
    <n v="1.6"/>
  </r>
  <r>
    <x v="467"/>
    <x v="20"/>
    <x v="3"/>
    <n v="18451.91"/>
    <x v="4"/>
    <n v="92259.55"/>
    <x v="0"/>
    <x v="1"/>
    <n v="4.9000000000000004"/>
  </r>
  <r>
    <x v="468"/>
    <x v="3"/>
    <x v="3"/>
    <n v="31793.09"/>
    <x v="1"/>
    <n v="127172.36"/>
    <x v="218"/>
    <x v="3"/>
    <n v="4.8"/>
  </r>
  <r>
    <x v="469"/>
    <x v="15"/>
    <x v="1"/>
    <n v="36666.620000000003"/>
    <x v="1"/>
    <n v="146666.48000000001"/>
    <x v="228"/>
    <x v="5"/>
    <n v="2.1"/>
  </r>
  <r>
    <x v="470"/>
    <x v="12"/>
    <x v="3"/>
    <n v="38681.26"/>
    <x v="2"/>
    <n v="38681.26"/>
    <x v="245"/>
    <x v="3"/>
    <n v="2"/>
  </r>
  <r>
    <x v="471"/>
    <x v="4"/>
    <x v="4"/>
    <n v="29493.06"/>
    <x v="3"/>
    <n v="88479.18"/>
    <x v="272"/>
    <x v="4"/>
    <n v="4.2"/>
  </r>
  <r>
    <x v="472"/>
    <x v="16"/>
    <x v="4"/>
    <n v="30009.200000000001"/>
    <x v="0"/>
    <n v="60018.400000000001"/>
    <x v="54"/>
    <x v="0"/>
    <n v="3"/>
  </r>
  <r>
    <x v="473"/>
    <x v="15"/>
    <x v="1"/>
    <n v="23089.32"/>
    <x v="0"/>
    <n v="46178.64"/>
    <x v="273"/>
    <x v="5"/>
    <n v="3.1"/>
  </r>
  <r>
    <x v="474"/>
    <x v="23"/>
    <x v="4"/>
    <n v="32460.13"/>
    <x v="1"/>
    <n v="129840.52"/>
    <x v="62"/>
    <x v="4"/>
    <n v="3.7"/>
  </r>
  <r>
    <x v="475"/>
    <x v="3"/>
    <x v="3"/>
    <n v="29509.14"/>
    <x v="3"/>
    <n v="88527.42"/>
    <x v="274"/>
    <x v="5"/>
    <n v="4.0999999999999996"/>
  </r>
  <r>
    <x v="476"/>
    <x v="0"/>
    <x v="0"/>
    <n v="5528.69"/>
    <x v="3"/>
    <n v="16586.07"/>
    <x v="96"/>
    <x v="0"/>
    <n v="4.2"/>
  </r>
  <r>
    <x v="477"/>
    <x v="21"/>
    <x v="0"/>
    <n v="11864.67"/>
    <x v="4"/>
    <n v="59323.35"/>
    <x v="105"/>
    <x v="5"/>
    <n v="2.8"/>
  </r>
  <r>
    <x v="478"/>
    <x v="23"/>
    <x v="4"/>
    <n v="14273.74"/>
    <x v="0"/>
    <n v="28547.48"/>
    <x v="143"/>
    <x v="5"/>
    <n v="3.8"/>
  </r>
  <r>
    <x v="479"/>
    <x v="0"/>
    <x v="0"/>
    <n v="26806.06"/>
    <x v="3"/>
    <n v="80418.179999999993"/>
    <x v="163"/>
    <x v="2"/>
    <n v="4.3"/>
  </r>
  <r>
    <x v="480"/>
    <x v="8"/>
    <x v="1"/>
    <n v="18757.07"/>
    <x v="1"/>
    <n v="75028.28"/>
    <x v="275"/>
    <x v="1"/>
    <n v="4.2"/>
  </r>
  <r>
    <x v="481"/>
    <x v="22"/>
    <x v="0"/>
    <n v="19661.09"/>
    <x v="1"/>
    <n v="78644.36"/>
    <x v="113"/>
    <x v="5"/>
    <n v="2.5"/>
  </r>
  <r>
    <x v="482"/>
    <x v="22"/>
    <x v="0"/>
    <n v="27434.25"/>
    <x v="2"/>
    <n v="27434.25"/>
    <x v="276"/>
    <x v="3"/>
    <n v="3.8"/>
  </r>
  <r>
    <x v="483"/>
    <x v="0"/>
    <x v="0"/>
    <n v="6322.42"/>
    <x v="1"/>
    <n v="25289.68"/>
    <x v="53"/>
    <x v="1"/>
    <n v="4"/>
  </r>
  <r>
    <x v="484"/>
    <x v="13"/>
    <x v="0"/>
    <n v="4316.82"/>
    <x v="0"/>
    <n v="8633.64"/>
    <x v="108"/>
    <x v="4"/>
    <n v="3.6"/>
  </r>
  <r>
    <x v="485"/>
    <x v="24"/>
    <x v="1"/>
    <n v="45426.39"/>
    <x v="1"/>
    <n v="181705.56"/>
    <x v="277"/>
    <x v="5"/>
    <n v="2.8"/>
  </r>
  <r>
    <x v="486"/>
    <x v="18"/>
    <x v="3"/>
    <n v="14971.45"/>
    <x v="3"/>
    <n v="44914.35"/>
    <x v="12"/>
    <x v="1"/>
    <n v="4.5"/>
  </r>
  <r>
    <x v="487"/>
    <x v="16"/>
    <x v="4"/>
    <n v="12245.12"/>
    <x v="0"/>
    <n v="24490.240000000002"/>
    <x v="222"/>
    <x v="3"/>
    <n v="4.5"/>
  </r>
  <r>
    <x v="488"/>
    <x v="14"/>
    <x v="0"/>
    <n v="48405.89"/>
    <x v="1"/>
    <n v="193623.56"/>
    <x v="263"/>
    <x v="2"/>
    <n v="4.9000000000000004"/>
  </r>
  <r>
    <x v="489"/>
    <x v="17"/>
    <x v="2"/>
    <n v="12757.67"/>
    <x v="4"/>
    <n v="63788.35"/>
    <x v="278"/>
    <x v="1"/>
    <n v="3.3"/>
  </r>
  <r>
    <x v="490"/>
    <x v="24"/>
    <x v="1"/>
    <n v="33071.089999999997"/>
    <x v="0"/>
    <n v="66142.179999999993"/>
    <x v="157"/>
    <x v="3"/>
    <n v="3.5"/>
  </r>
  <r>
    <x v="491"/>
    <x v="17"/>
    <x v="2"/>
    <n v="4869.5600000000004"/>
    <x v="2"/>
    <n v="4869.5600000000004"/>
    <x v="50"/>
    <x v="1"/>
    <n v="1.9"/>
  </r>
  <r>
    <x v="492"/>
    <x v="15"/>
    <x v="1"/>
    <n v="45127.31"/>
    <x v="1"/>
    <n v="180509.24"/>
    <x v="101"/>
    <x v="3"/>
    <n v="4.2"/>
  </r>
  <r>
    <x v="493"/>
    <x v="16"/>
    <x v="4"/>
    <n v="8867.7199999999993"/>
    <x v="2"/>
    <n v="8867.7199999999993"/>
    <x v="29"/>
    <x v="5"/>
    <n v="4.3"/>
  </r>
  <r>
    <x v="494"/>
    <x v="4"/>
    <x v="4"/>
    <n v="31749.94"/>
    <x v="2"/>
    <n v="31749.94"/>
    <x v="99"/>
    <x v="3"/>
    <n v="3.1"/>
  </r>
  <r>
    <x v="495"/>
    <x v="19"/>
    <x v="2"/>
    <n v="40944.769999999997"/>
    <x v="0"/>
    <n v="81889.539999999994"/>
    <x v="279"/>
    <x v="4"/>
    <n v="2.9"/>
  </r>
  <r>
    <x v="496"/>
    <x v="7"/>
    <x v="4"/>
    <n v="20859.61"/>
    <x v="1"/>
    <n v="83438.44"/>
    <x v="280"/>
    <x v="2"/>
    <n v="4.9000000000000004"/>
  </r>
  <r>
    <x v="497"/>
    <x v="0"/>
    <x v="0"/>
    <n v="6884.74"/>
    <x v="4"/>
    <n v="34423.699999999997"/>
    <x v="172"/>
    <x v="5"/>
    <n v="1.4"/>
  </r>
  <r>
    <x v="498"/>
    <x v="1"/>
    <x v="1"/>
    <n v="40238.5"/>
    <x v="3"/>
    <n v="120715.5"/>
    <x v="24"/>
    <x v="2"/>
    <n v="3.9"/>
  </r>
  <r>
    <x v="499"/>
    <x v="12"/>
    <x v="3"/>
    <n v="10422.280000000001"/>
    <x v="4"/>
    <n v="52111.4"/>
    <x v="281"/>
    <x v="5"/>
    <n v="3.5"/>
  </r>
  <r>
    <x v="500"/>
    <x v="22"/>
    <x v="0"/>
    <n v="13862.56"/>
    <x v="2"/>
    <n v="13862.56"/>
    <x v="123"/>
    <x v="2"/>
    <n v="1.6"/>
  </r>
  <r>
    <x v="501"/>
    <x v="2"/>
    <x v="2"/>
    <n v="35911.22"/>
    <x v="1"/>
    <n v="143644.88"/>
    <x v="0"/>
    <x v="4"/>
    <n v="4.0999999999999996"/>
  </r>
  <r>
    <x v="502"/>
    <x v="8"/>
    <x v="1"/>
    <n v="16523.689999999999"/>
    <x v="3"/>
    <n v="49571.07"/>
    <x v="173"/>
    <x v="4"/>
    <n v="2.8"/>
  </r>
  <r>
    <x v="503"/>
    <x v="11"/>
    <x v="2"/>
    <n v="6566.03"/>
    <x v="4"/>
    <n v="32830.15"/>
    <x v="112"/>
    <x v="3"/>
    <n v="2.6"/>
  </r>
  <r>
    <x v="504"/>
    <x v="16"/>
    <x v="4"/>
    <n v="18799.05"/>
    <x v="3"/>
    <n v="56397.15"/>
    <x v="178"/>
    <x v="1"/>
    <n v="4.3"/>
  </r>
  <r>
    <x v="505"/>
    <x v="20"/>
    <x v="3"/>
    <n v="8436.7099999999991"/>
    <x v="4"/>
    <n v="42183.55"/>
    <x v="10"/>
    <x v="2"/>
    <n v="4.9000000000000004"/>
  </r>
  <r>
    <x v="506"/>
    <x v="4"/>
    <x v="4"/>
    <n v="19380.5"/>
    <x v="1"/>
    <n v="77522"/>
    <x v="19"/>
    <x v="1"/>
    <n v="3.3"/>
  </r>
  <r>
    <x v="507"/>
    <x v="11"/>
    <x v="2"/>
    <n v="20228.05"/>
    <x v="3"/>
    <n v="60684.15"/>
    <x v="178"/>
    <x v="1"/>
    <n v="1.2"/>
  </r>
  <r>
    <x v="508"/>
    <x v="18"/>
    <x v="3"/>
    <n v="28606.86"/>
    <x v="4"/>
    <n v="143034.29999999999"/>
    <x v="184"/>
    <x v="1"/>
    <n v="4.8"/>
  </r>
  <r>
    <x v="509"/>
    <x v="21"/>
    <x v="0"/>
    <n v="16803.759999999998"/>
    <x v="1"/>
    <n v="67215.039999999994"/>
    <x v="235"/>
    <x v="2"/>
    <n v="4"/>
  </r>
  <r>
    <x v="510"/>
    <x v="2"/>
    <x v="2"/>
    <n v="18093.34"/>
    <x v="4"/>
    <n v="90466.7"/>
    <x v="282"/>
    <x v="4"/>
    <n v="4.2"/>
  </r>
  <r>
    <x v="511"/>
    <x v="9"/>
    <x v="3"/>
    <n v="31737.13"/>
    <x v="4"/>
    <n v="158685.65"/>
    <x v="77"/>
    <x v="5"/>
    <n v="4"/>
  </r>
  <r>
    <x v="512"/>
    <x v="11"/>
    <x v="2"/>
    <n v="49861.17"/>
    <x v="3"/>
    <n v="149583.51"/>
    <x v="79"/>
    <x v="1"/>
    <n v="2.5"/>
  </r>
  <r>
    <x v="513"/>
    <x v="0"/>
    <x v="0"/>
    <n v="21233.35"/>
    <x v="2"/>
    <n v="21233.35"/>
    <x v="156"/>
    <x v="3"/>
    <n v="1.7"/>
  </r>
  <r>
    <x v="514"/>
    <x v="23"/>
    <x v="4"/>
    <n v="776.91"/>
    <x v="4"/>
    <n v="3884.55"/>
    <x v="70"/>
    <x v="3"/>
    <n v="4.2"/>
  </r>
  <r>
    <x v="515"/>
    <x v="11"/>
    <x v="2"/>
    <n v="25542.71"/>
    <x v="2"/>
    <n v="25542.71"/>
    <x v="38"/>
    <x v="1"/>
    <n v="2.2000000000000002"/>
  </r>
  <r>
    <x v="516"/>
    <x v="6"/>
    <x v="1"/>
    <n v="10818.28"/>
    <x v="4"/>
    <n v="54091.4"/>
    <x v="135"/>
    <x v="1"/>
    <n v="1.6"/>
  </r>
  <r>
    <x v="517"/>
    <x v="9"/>
    <x v="3"/>
    <n v="45801.19"/>
    <x v="4"/>
    <n v="229005.95"/>
    <x v="151"/>
    <x v="4"/>
    <n v="2.4"/>
  </r>
  <r>
    <x v="518"/>
    <x v="2"/>
    <x v="2"/>
    <n v="6963.56"/>
    <x v="0"/>
    <n v="13927.12"/>
    <x v="87"/>
    <x v="0"/>
    <n v="3.3"/>
  </r>
  <r>
    <x v="519"/>
    <x v="12"/>
    <x v="3"/>
    <n v="37082.11"/>
    <x v="2"/>
    <n v="37082.11"/>
    <x v="240"/>
    <x v="1"/>
    <n v="4.4000000000000004"/>
  </r>
  <r>
    <x v="520"/>
    <x v="14"/>
    <x v="0"/>
    <n v="6842.69"/>
    <x v="2"/>
    <n v="6842.69"/>
    <x v="246"/>
    <x v="1"/>
    <n v="3.6"/>
  </r>
  <r>
    <x v="521"/>
    <x v="10"/>
    <x v="2"/>
    <n v="7283.96"/>
    <x v="2"/>
    <n v="7283.96"/>
    <x v="61"/>
    <x v="3"/>
    <n v="2"/>
  </r>
  <r>
    <x v="522"/>
    <x v="4"/>
    <x v="4"/>
    <n v="218.58"/>
    <x v="4"/>
    <n v="1092.9000000000001"/>
    <x v="112"/>
    <x v="2"/>
    <n v="4.8"/>
  </r>
  <r>
    <x v="523"/>
    <x v="18"/>
    <x v="3"/>
    <n v="38689.699999999997"/>
    <x v="3"/>
    <n v="116069.1"/>
    <x v="228"/>
    <x v="0"/>
    <n v="1.9"/>
  </r>
  <r>
    <x v="524"/>
    <x v="7"/>
    <x v="4"/>
    <n v="8863.9699999999993"/>
    <x v="0"/>
    <n v="17727.939999999999"/>
    <x v="283"/>
    <x v="1"/>
    <n v="4.5"/>
  </r>
  <r>
    <x v="525"/>
    <x v="6"/>
    <x v="1"/>
    <n v="12472.17"/>
    <x v="4"/>
    <n v="62360.85"/>
    <x v="264"/>
    <x v="1"/>
    <n v="1.9"/>
  </r>
  <r>
    <x v="526"/>
    <x v="1"/>
    <x v="1"/>
    <n v="8734.44"/>
    <x v="2"/>
    <n v="8734.44"/>
    <x v="35"/>
    <x v="0"/>
    <n v="2.5"/>
  </r>
  <r>
    <x v="527"/>
    <x v="10"/>
    <x v="2"/>
    <n v="32422.04"/>
    <x v="4"/>
    <n v="162110.20000000001"/>
    <x v="148"/>
    <x v="5"/>
    <n v="1.9"/>
  </r>
  <r>
    <x v="528"/>
    <x v="18"/>
    <x v="3"/>
    <n v="45532.34"/>
    <x v="4"/>
    <n v="227661.7"/>
    <x v="62"/>
    <x v="4"/>
    <n v="3.6"/>
  </r>
  <r>
    <x v="529"/>
    <x v="2"/>
    <x v="2"/>
    <n v="22534.799999999999"/>
    <x v="1"/>
    <n v="90139.199999999997"/>
    <x v="53"/>
    <x v="3"/>
    <n v="1.4"/>
  </r>
  <r>
    <x v="530"/>
    <x v="22"/>
    <x v="0"/>
    <n v="26058.55"/>
    <x v="2"/>
    <n v="26058.55"/>
    <x v="114"/>
    <x v="1"/>
    <n v="2"/>
  </r>
  <r>
    <x v="531"/>
    <x v="16"/>
    <x v="4"/>
    <n v="13348.84"/>
    <x v="0"/>
    <n v="26697.68"/>
    <x v="251"/>
    <x v="3"/>
    <n v="4.2"/>
  </r>
  <r>
    <x v="532"/>
    <x v="7"/>
    <x v="4"/>
    <n v="46792.3"/>
    <x v="2"/>
    <n v="46792.3"/>
    <x v="175"/>
    <x v="4"/>
    <n v="4.9000000000000004"/>
  </r>
  <r>
    <x v="533"/>
    <x v="23"/>
    <x v="4"/>
    <n v="15764.25"/>
    <x v="1"/>
    <n v="63057"/>
    <x v="241"/>
    <x v="3"/>
    <n v="4"/>
  </r>
  <r>
    <x v="534"/>
    <x v="3"/>
    <x v="3"/>
    <n v="45019"/>
    <x v="4"/>
    <n v="225095"/>
    <x v="238"/>
    <x v="3"/>
    <n v="4.7"/>
  </r>
  <r>
    <x v="535"/>
    <x v="24"/>
    <x v="1"/>
    <n v="42794.400000000001"/>
    <x v="1"/>
    <n v="171177.60000000001"/>
    <x v="94"/>
    <x v="3"/>
    <n v="4.5999999999999996"/>
  </r>
  <r>
    <x v="536"/>
    <x v="0"/>
    <x v="0"/>
    <n v="492.53"/>
    <x v="2"/>
    <n v="492.53"/>
    <x v="252"/>
    <x v="4"/>
    <n v="4.4000000000000004"/>
  </r>
  <r>
    <x v="537"/>
    <x v="23"/>
    <x v="4"/>
    <n v="30721.51"/>
    <x v="1"/>
    <n v="122886.04"/>
    <x v="55"/>
    <x v="2"/>
    <n v="3.4"/>
  </r>
  <r>
    <x v="538"/>
    <x v="4"/>
    <x v="4"/>
    <n v="17162.64"/>
    <x v="3"/>
    <n v="51487.92"/>
    <x v="270"/>
    <x v="3"/>
    <n v="4.7"/>
  </r>
  <r>
    <x v="539"/>
    <x v="14"/>
    <x v="0"/>
    <n v="45888.54"/>
    <x v="3"/>
    <n v="137665.62"/>
    <x v="61"/>
    <x v="4"/>
    <n v="2"/>
  </r>
  <r>
    <x v="540"/>
    <x v="7"/>
    <x v="4"/>
    <n v="49052.43"/>
    <x v="3"/>
    <n v="147157.29"/>
    <x v="141"/>
    <x v="0"/>
    <n v="4.5"/>
  </r>
  <r>
    <x v="541"/>
    <x v="23"/>
    <x v="4"/>
    <n v="2435.9699999999998"/>
    <x v="2"/>
    <n v="2435.9699999999998"/>
    <x v="13"/>
    <x v="4"/>
    <n v="2.2999999999999998"/>
  </r>
  <r>
    <x v="542"/>
    <x v="7"/>
    <x v="4"/>
    <n v="48128.02"/>
    <x v="1"/>
    <n v="192512.08"/>
    <x v="284"/>
    <x v="2"/>
    <n v="3.2"/>
  </r>
  <r>
    <x v="543"/>
    <x v="10"/>
    <x v="2"/>
    <n v="47111.56"/>
    <x v="4"/>
    <n v="235557.8"/>
    <x v="285"/>
    <x v="1"/>
    <n v="2.9"/>
  </r>
  <r>
    <x v="544"/>
    <x v="0"/>
    <x v="0"/>
    <n v="8091.3"/>
    <x v="4"/>
    <n v="40456.5"/>
    <x v="225"/>
    <x v="4"/>
    <n v="2"/>
  </r>
  <r>
    <x v="545"/>
    <x v="16"/>
    <x v="4"/>
    <n v="43217.1"/>
    <x v="4"/>
    <n v="216085.5"/>
    <x v="1"/>
    <x v="0"/>
    <n v="2.6"/>
  </r>
  <r>
    <x v="546"/>
    <x v="8"/>
    <x v="1"/>
    <n v="35592.76"/>
    <x v="0"/>
    <n v="71185.52"/>
    <x v="59"/>
    <x v="0"/>
    <n v="4.5999999999999996"/>
  </r>
  <r>
    <x v="547"/>
    <x v="17"/>
    <x v="2"/>
    <n v="9534.89"/>
    <x v="4"/>
    <n v="47674.45"/>
    <x v="90"/>
    <x v="5"/>
    <n v="4.2"/>
  </r>
  <r>
    <x v="548"/>
    <x v="19"/>
    <x v="2"/>
    <n v="46990.87"/>
    <x v="1"/>
    <n v="187963.48"/>
    <x v="198"/>
    <x v="3"/>
    <n v="1.7"/>
  </r>
  <r>
    <x v="549"/>
    <x v="7"/>
    <x v="4"/>
    <n v="31137.03"/>
    <x v="4"/>
    <n v="155685.15"/>
    <x v="286"/>
    <x v="4"/>
    <n v="2.6"/>
  </r>
  <r>
    <x v="550"/>
    <x v="18"/>
    <x v="3"/>
    <n v="35821.160000000003"/>
    <x v="1"/>
    <n v="143284.64000000001"/>
    <x v="197"/>
    <x v="0"/>
    <n v="2.1"/>
  </r>
  <r>
    <x v="551"/>
    <x v="19"/>
    <x v="2"/>
    <n v="28156.95"/>
    <x v="4"/>
    <n v="140784.75"/>
    <x v="59"/>
    <x v="1"/>
    <n v="2.7"/>
  </r>
  <r>
    <x v="552"/>
    <x v="11"/>
    <x v="2"/>
    <n v="9335.19"/>
    <x v="0"/>
    <n v="18670.38"/>
    <x v="43"/>
    <x v="3"/>
    <n v="3.9"/>
  </r>
  <r>
    <x v="553"/>
    <x v="15"/>
    <x v="1"/>
    <n v="25114.77"/>
    <x v="0"/>
    <n v="50229.54"/>
    <x v="287"/>
    <x v="3"/>
    <n v="3.6"/>
  </r>
  <r>
    <x v="554"/>
    <x v="11"/>
    <x v="2"/>
    <n v="19961.03"/>
    <x v="3"/>
    <n v="59883.09"/>
    <x v="43"/>
    <x v="4"/>
    <n v="2.9"/>
  </r>
  <r>
    <x v="555"/>
    <x v="18"/>
    <x v="3"/>
    <n v="38488.04"/>
    <x v="0"/>
    <n v="76976.08"/>
    <x v="95"/>
    <x v="1"/>
    <n v="1.1000000000000001"/>
  </r>
  <r>
    <x v="556"/>
    <x v="10"/>
    <x v="2"/>
    <n v="20202.560000000001"/>
    <x v="4"/>
    <n v="101012.8"/>
    <x v="288"/>
    <x v="4"/>
    <n v="3.6"/>
  </r>
  <r>
    <x v="557"/>
    <x v="20"/>
    <x v="3"/>
    <n v="39008.370000000003"/>
    <x v="3"/>
    <n v="117025.11"/>
    <x v="234"/>
    <x v="5"/>
    <n v="2.2000000000000002"/>
  </r>
  <r>
    <x v="558"/>
    <x v="10"/>
    <x v="2"/>
    <n v="9946.27"/>
    <x v="2"/>
    <n v="9946.27"/>
    <x v="143"/>
    <x v="4"/>
    <n v="1.1000000000000001"/>
  </r>
  <r>
    <x v="559"/>
    <x v="15"/>
    <x v="1"/>
    <n v="7994.76"/>
    <x v="4"/>
    <n v="39973.800000000003"/>
    <x v="289"/>
    <x v="0"/>
    <n v="1.5"/>
  </r>
  <r>
    <x v="560"/>
    <x v="4"/>
    <x v="4"/>
    <n v="6341.62"/>
    <x v="3"/>
    <n v="19024.86"/>
    <x v="87"/>
    <x v="4"/>
    <n v="4.4000000000000004"/>
  </r>
  <r>
    <x v="561"/>
    <x v="1"/>
    <x v="1"/>
    <n v="37503.57"/>
    <x v="1"/>
    <n v="150014.28"/>
    <x v="220"/>
    <x v="3"/>
    <n v="1.8"/>
  </r>
  <r>
    <x v="562"/>
    <x v="21"/>
    <x v="0"/>
    <n v="36760.35"/>
    <x v="2"/>
    <n v="36760.35"/>
    <x v="222"/>
    <x v="4"/>
    <n v="1.5"/>
  </r>
  <r>
    <x v="563"/>
    <x v="8"/>
    <x v="1"/>
    <n v="38023.86"/>
    <x v="4"/>
    <n v="190119.3"/>
    <x v="135"/>
    <x v="4"/>
    <n v="2.1"/>
  </r>
  <r>
    <x v="564"/>
    <x v="24"/>
    <x v="1"/>
    <n v="17983.34"/>
    <x v="2"/>
    <n v="17983.34"/>
    <x v="124"/>
    <x v="3"/>
    <n v="1.5"/>
  </r>
  <r>
    <x v="565"/>
    <x v="16"/>
    <x v="4"/>
    <n v="25457.34"/>
    <x v="4"/>
    <n v="127286.7"/>
    <x v="120"/>
    <x v="1"/>
    <n v="4.3"/>
  </r>
  <r>
    <x v="566"/>
    <x v="22"/>
    <x v="0"/>
    <n v="26220.67"/>
    <x v="1"/>
    <n v="104882.68"/>
    <x v="285"/>
    <x v="5"/>
    <n v="3.3"/>
  </r>
  <r>
    <x v="567"/>
    <x v="0"/>
    <x v="0"/>
    <n v="48670.07"/>
    <x v="2"/>
    <n v="48670.07"/>
    <x v="178"/>
    <x v="1"/>
    <n v="4.2"/>
  </r>
  <r>
    <x v="568"/>
    <x v="12"/>
    <x v="3"/>
    <n v="12197.36"/>
    <x v="4"/>
    <n v="60986.8"/>
    <x v="200"/>
    <x v="0"/>
    <n v="3.5"/>
  </r>
  <r>
    <x v="569"/>
    <x v="9"/>
    <x v="3"/>
    <n v="14488.22"/>
    <x v="1"/>
    <n v="57952.88"/>
    <x v="290"/>
    <x v="5"/>
    <n v="2.7"/>
  </r>
  <r>
    <x v="570"/>
    <x v="7"/>
    <x v="4"/>
    <n v="33547.94"/>
    <x v="0"/>
    <n v="67095.88"/>
    <x v="101"/>
    <x v="5"/>
    <n v="1.1000000000000001"/>
  </r>
  <r>
    <x v="571"/>
    <x v="6"/>
    <x v="1"/>
    <n v="4800.26"/>
    <x v="4"/>
    <n v="24001.3"/>
    <x v="125"/>
    <x v="1"/>
    <n v="2.2000000000000002"/>
  </r>
  <r>
    <x v="572"/>
    <x v="4"/>
    <x v="4"/>
    <n v="36429.57"/>
    <x v="1"/>
    <n v="145718.28"/>
    <x v="61"/>
    <x v="4"/>
    <n v="4.5999999999999996"/>
  </r>
  <r>
    <x v="573"/>
    <x v="9"/>
    <x v="3"/>
    <n v="29775.43"/>
    <x v="1"/>
    <n v="119101.72"/>
    <x v="244"/>
    <x v="0"/>
    <n v="4.5999999999999996"/>
  </r>
  <r>
    <x v="574"/>
    <x v="10"/>
    <x v="2"/>
    <n v="10736.32"/>
    <x v="3"/>
    <n v="32208.959999999999"/>
    <x v="30"/>
    <x v="1"/>
    <n v="3.7"/>
  </r>
  <r>
    <x v="575"/>
    <x v="22"/>
    <x v="0"/>
    <n v="8005.02"/>
    <x v="4"/>
    <n v="40025.1"/>
    <x v="92"/>
    <x v="1"/>
    <n v="2.5"/>
  </r>
  <r>
    <x v="576"/>
    <x v="10"/>
    <x v="2"/>
    <n v="32078.48"/>
    <x v="3"/>
    <n v="96235.44"/>
    <x v="154"/>
    <x v="4"/>
    <n v="4.5"/>
  </r>
  <r>
    <x v="577"/>
    <x v="3"/>
    <x v="3"/>
    <n v="31277.18"/>
    <x v="2"/>
    <n v="31277.18"/>
    <x v="45"/>
    <x v="0"/>
    <n v="3"/>
  </r>
  <r>
    <x v="578"/>
    <x v="20"/>
    <x v="3"/>
    <n v="31094.13"/>
    <x v="2"/>
    <n v="31094.13"/>
    <x v="279"/>
    <x v="1"/>
    <n v="2.7"/>
  </r>
  <r>
    <x v="579"/>
    <x v="13"/>
    <x v="0"/>
    <n v="15881.67"/>
    <x v="1"/>
    <n v="63526.68"/>
    <x v="243"/>
    <x v="2"/>
    <n v="4.3"/>
  </r>
  <r>
    <x v="580"/>
    <x v="8"/>
    <x v="1"/>
    <n v="16129.77"/>
    <x v="1"/>
    <n v="64519.08"/>
    <x v="291"/>
    <x v="0"/>
    <n v="1"/>
  </r>
  <r>
    <x v="581"/>
    <x v="17"/>
    <x v="2"/>
    <n v="39478.69"/>
    <x v="4"/>
    <n v="197393.45"/>
    <x v="21"/>
    <x v="4"/>
    <n v="2.7"/>
  </r>
  <r>
    <x v="582"/>
    <x v="13"/>
    <x v="0"/>
    <n v="29635.8"/>
    <x v="3"/>
    <n v="88907.4"/>
    <x v="292"/>
    <x v="4"/>
    <n v="1.2"/>
  </r>
  <r>
    <x v="583"/>
    <x v="3"/>
    <x v="3"/>
    <n v="7892.27"/>
    <x v="0"/>
    <n v="15784.54"/>
    <x v="108"/>
    <x v="5"/>
    <n v="1.1000000000000001"/>
  </r>
  <r>
    <x v="584"/>
    <x v="9"/>
    <x v="3"/>
    <n v="45112.24"/>
    <x v="3"/>
    <n v="135336.72"/>
    <x v="171"/>
    <x v="2"/>
    <n v="4.7"/>
  </r>
  <r>
    <x v="585"/>
    <x v="1"/>
    <x v="1"/>
    <n v="26527.78"/>
    <x v="1"/>
    <n v="106111.12"/>
    <x v="40"/>
    <x v="5"/>
    <n v="3.7"/>
  </r>
  <r>
    <x v="586"/>
    <x v="4"/>
    <x v="4"/>
    <n v="37170.400000000001"/>
    <x v="4"/>
    <n v="185852"/>
    <x v="293"/>
    <x v="0"/>
    <n v="3.7"/>
  </r>
  <r>
    <x v="587"/>
    <x v="1"/>
    <x v="1"/>
    <n v="47535.79"/>
    <x v="4"/>
    <n v="237678.95"/>
    <x v="40"/>
    <x v="0"/>
    <n v="1.8"/>
  </r>
  <r>
    <x v="588"/>
    <x v="16"/>
    <x v="4"/>
    <n v="30252.89"/>
    <x v="1"/>
    <n v="121011.56"/>
    <x v="253"/>
    <x v="2"/>
    <n v="4.0999999999999996"/>
  </r>
  <r>
    <x v="589"/>
    <x v="6"/>
    <x v="1"/>
    <n v="3126.9"/>
    <x v="3"/>
    <n v="9380.7000000000007"/>
    <x v="46"/>
    <x v="3"/>
    <n v="1.9"/>
  </r>
  <r>
    <x v="590"/>
    <x v="22"/>
    <x v="0"/>
    <n v="40295.47"/>
    <x v="3"/>
    <n v="120886.41"/>
    <x v="294"/>
    <x v="1"/>
    <n v="2.8"/>
  </r>
  <r>
    <x v="591"/>
    <x v="10"/>
    <x v="2"/>
    <n v="462"/>
    <x v="1"/>
    <n v="1848"/>
    <x v="170"/>
    <x v="3"/>
    <n v="3.4"/>
  </r>
  <r>
    <x v="592"/>
    <x v="11"/>
    <x v="2"/>
    <n v="22475.54"/>
    <x v="3"/>
    <n v="67426.62"/>
    <x v="233"/>
    <x v="1"/>
    <n v="1.6"/>
  </r>
  <r>
    <x v="593"/>
    <x v="20"/>
    <x v="3"/>
    <n v="19218.55"/>
    <x v="0"/>
    <n v="38437.1"/>
    <x v="210"/>
    <x v="2"/>
    <n v="4.5"/>
  </r>
  <r>
    <x v="594"/>
    <x v="3"/>
    <x v="3"/>
    <n v="31162.39"/>
    <x v="4"/>
    <n v="155811.95000000001"/>
    <x v="25"/>
    <x v="4"/>
    <n v="3.4"/>
  </r>
  <r>
    <x v="595"/>
    <x v="17"/>
    <x v="2"/>
    <n v="16017.54"/>
    <x v="2"/>
    <n v="16017.54"/>
    <x v="176"/>
    <x v="1"/>
    <n v="3.5"/>
  </r>
  <r>
    <x v="596"/>
    <x v="4"/>
    <x v="4"/>
    <n v="19008.810000000001"/>
    <x v="1"/>
    <n v="76035.240000000005"/>
    <x v="64"/>
    <x v="3"/>
    <n v="4.2"/>
  </r>
  <r>
    <x v="597"/>
    <x v="20"/>
    <x v="3"/>
    <n v="22353.43"/>
    <x v="3"/>
    <n v="67060.289999999994"/>
    <x v="141"/>
    <x v="0"/>
    <n v="1.3"/>
  </r>
  <r>
    <x v="598"/>
    <x v="5"/>
    <x v="4"/>
    <n v="30122.28"/>
    <x v="4"/>
    <n v="150611.4"/>
    <x v="165"/>
    <x v="1"/>
    <n v="4.8"/>
  </r>
  <r>
    <x v="599"/>
    <x v="9"/>
    <x v="3"/>
    <n v="7289.72"/>
    <x v="4"/>
    <n v="36448.6"/>
    <x v="195"/>
    <x v="2"/>
    <n v="1.9"/>
  </r>
  <r>
    <x v="600"/>
    <x v="3"/>
    <x v="3"/>
    <n v="32122.43"/>
    <x v="1"/>
    <n v="128489.72"/>
    <x v="259"/>
    <x v="3"/>
    <n v="2.8"/>
  </r>
  <r>
    <x v="601"/>
    <x v="6"/>
    <x v="1"/>
    <n v="43852.34"/>
    <x v="3"/>
    <n v="131557.01999999999"/>
    <x v="280"/>
    <x v="5"/>
    <n v="4.2"/>
  </r>
  <r>
    <x v="602"/>
    <x v="16"/>
    <x v="4"/>
    <n v="23005.86"/>
    <x v="2"/>
    <n v="23005.86"/>
    <x v="100"/>
    <x v="4"/>
    <n v="4.8"/>
  </r>
  <r>
    <x v="603"/>
    <x v="6"/>
    <x v="1"/>
    <n v="48580.6"/>
    <x v="2"/>
    <n v="48580.6"/>
    <x v="39"/>
    <x v="1"/>
    <n v="3"/>
  </r>
  <r>
    <x v="604"/>
    <x v="2"/>
    <x v="2"/>
    <n v="10320.870000000001"/>
    <x v="4"/>
    <n v="51604.35"/>
    <x v="295"/>
    <x v="2"/>
    <n v="2.8"/>
  </r>
  <r>
    <x v="605"/>
    <x v="4"/>
    <x v="4"/>
    <n v="43149.24"/>
    <x v="2"/>
    <n v="43149.24"/>
    <x v="296"/>
    <x v="1"/>
    <n v="1.9"/>
  </r>
  <r>
    <x v="606"/>
    <x v="22"/>
    <x v="0"/>
    <n v="567.80999999999995"/>
    <x v="1"/>
    <n v="2271.2399999999998"/>
    <x v="297"/>
    <x v="2"/>
    <n v="4.5"/>
  </r>
  <r>
    <x v="607"/>
    <x v="13"/>
    <x v="0"/>
    <n v="6705.43"/>
    <x v="4"/>
    <n v="33527.15"/>
    <x v="186"/>
    <x v="2"/>
    <n v="4.5"/>
  </r>
  <r>
    <x v="608"/>
    <x v="15"/>
    <x v="1"/>
    <n v="29974.35"/>
    <x v="4"/>
    <n v="149871.75"/>
    <x v="116"/>
    <x v="2"/>
    <n v="3.1"/>
  </r>
  <r>
    <x v="609"/>
    <x v="9"/>
    <x v="3"/>
    <n v="5739.3"/>
    <x v="1"/>
    <n v="22957.200000000001"/>
    <x v="30"/>
    <x v="4"/>
    <n v="4.5999999999999996"/>
  </r>
  <r>
    <x v="610"/>
    <x v="1"/>
    <x v="1"/>
    <n v="21417.72"/>
    <x v="1"/>
    <n v="85670.88"/>
    <x v="298"/>
    <x v="0"/>
    <n v="4.5"/>
  </r>
  <r>
    <x v="611"/>
    <x v="7"/>
    <x v="4"/>
    <n v="25404.68"/>
    <x v="1"/>
    <n v="101618.72"/>
    <x v="111"/>
    <x v="4"/>
    <n v="4.5999999999999996"/>
  </r>
  <r>
    <x v="612"/>
    <x v="5"/>
    <x v="4"/>
    <n v="27582.01"/>
    <x v="0"/>
    <n v="55164.02"/>
    <x v="66"/>
    <x v="0"/>
    <n v="1.5"/>
  </r>
  <r>
    <x v="613"/>
    <x v="16"/>
    <x v="4"/>
    <n v="23584.89"/>
    <x v="3"/>
    <n v="70754.67"/>
    <x v="89"/>
    <x v="2"/>
    <n v="4.0999999999999996"/>
  </r>
  <r>
    <x v="614"/>
    <x v="0"/>
    <x v="0"/>
    <n v="24444.89"/>
    <x v="3"/>
    <n v="73334.67"/>
    <x v="299"/>
    <x v="2"/>
    <n v="1.2"/>
  </r>
  <r>
    <x v="615"/>
    <x v="24"/>
    <x v="1"/>
    <n v="8080.22"/>
    <x v="0"/>
    <n v="16160.44"/>
    <x v="213"/>
    <x v="0"/>
    <n v="3.6"/>
  </r>
  <r>
    <x v="616"/>
    <x v="11"/>
    <x v="2"/>
    <n v="27860.799999999999"/>
    <x v="0"/>
    <n v="55721.599999999999"/>
    <x v="90"/>
    <x v="4"/>
    <n v="2.6"/>
  </r>
  <r>
    <x v="617"/>
    <x v="21"/>
    <x v="0"/>
    <n v="30468.47"/>
    <x v="3"/>
    <n v="91405.41"/>
    <x v="33"/>
    <x v="4"/>
    <n v="1.7"/>
  </r>
  <r>
    <x v="618"/>
    <x v="11"/>
    <x v="2"/>
    <n v="7718.78"/>
    <x v="2"/>
    <n v="7718.78"/>
    <x v="166"/>
    <x v="0"/>
    <n v="1.1000000000000001"/>
  </r>
  <r>
    <x v="619"/>
    <x v="2"/>
    <x v="2"/>
    <n v="34866.42"/>
    <x v="2"/>
    <n v="34866.42"/>
    <x v="1"/>
    <x v="3"/>
    <n v="3.6"/>
  </r>
  <r>
    <x v="620"/>
    <x v="6"/>
    <x v="1"/>
    <n v="5369.5"/>
    <x v="2"/>
    <n v="5369.5"/>
    <x v="39"/>
    <x v="3"/>
    <n v="3.2"/>
  </r>
  <r>
    <x v="621"/>
    <x v="10"/>
    <x v="2"/>
    <n v="18338.759999999998"/>
    <x v="4"/>
    <n v="91693.8"/>
    <x v="40"/>
    <x v="2"/>
    <n v="4"/>
  </r>
  <r>
    <x v="622"/>
    <x v="20"/>
    <x v="3"/>
    <n v="48287.49"/>
    <x v="1"/>
    <n v="193149.96"/>
    <x v="43"/>
    <x v="1"/>
    <n v="1.1000000000000001"/>
  </r>
  <r>
    <x v="623"/>
    <x v="15"/>
    <x v="1"/>
    <n v="18161.009999999998"/>
    <x v="1"/>
    <n v="72644.039999999994"/>
    <x v="196"/>
    <x v="4"/>
    <n v="2.2999999999999998"/>
  </r>
  <r>
    <x v="624"/>
    <x v="1"/>
    <x v="1"/>
    <n v="21064.01"/>
    <x v="3"/>
    <n v="63192.03"/>
    <x v="90"/>
    <x v="5"/>
    <n v="1.9"/>
  </r>
  <r>
    <x v="625"/>
    <x v="21"/>
    <x v="0"/>
    <n v="8598.2199999999993"/>
    <x v="4"/>
    <n v="42991.1"/>
    <x v="197"/>
    <x v="1"/>
    <n v="1.4"/>
  </r>
  <r>
    <x v="626"/>
    <x v="3"/>
    <x v="3"/>
    <n v="27897.4"/>
    <x v="0"/>
    <n v="55794.8"/>
    <x v="206"/>
    <x v="3"/>
    <n v="1.8"/>
  </r>
  <r>
    <x v="627"/>
    <x v="11"/>
    <x v="2"/>
    <n v="3153.16"/>
    <x v="0"/>
    <n v="6306.32"/>
    <x v="222"/>
    <x v="5"/>
    <n v="4.4000000000000004"/>
  </r>
  <r>
    <x v="628"/>
    <x v="20"/>
    <x v="3"/>
    <n v="25634.9"/>
    <x v="2"/>
    <n v="25634.9"/>
    <x v="29"/>
    <x v="5"/>
    <n v="4.3"/>
  </r>
  <r>
    <x v="629"/>
    <x v="12"/>
    <x v="3"/>
    <n v="9427.83"/>
    <x v="3"/>
    <n v="28283.49"/>
    <x v="300"/>
    <x v="5"/>
    <n v="4.2"/>
  </r>
  <r>
    <x v="630"/>
    <x v="19"/>
    <x v="2"/>
    <n v="22564.13"/>
    <x v="2"/>
    <n v="22564.13"/>
    <x v="216"/>
    <x v="2"/>
    <n v="3.2"/>
  </r>
  <r>
    <x v="631"/>
    <x v="6"/>
    <x v="1"/>
    <n v="47288.95"/>
    <x v="2"/>
    <n v="47288.95"/>
    <x v="200"/>
    <x v="2"/>
    <n v="3.1"/>
  </r>
  <r>
    <x v="632"/>
    <x v="0"/>
    <x v="0"/>
    <n v="24537.79"/>
    <x v="3"/>
    <n v="73613.37"/>
    <x v="39"/>
    <x v="4"/>
    <n v="1.6"/>
  </r>
  <r>
    <x v="633"/>
    <x v="3"/>
    <x v="3"/>
    <n v="22226.76"/>
    <x v="4"/>
    <n v="111133.8"/>
    <x v="176"/>
    <x v="0"/>
    <n v="4.7"/>
  </r>
  <r>
    <x v="634"/>
    <x v="17"/>
    <x v="2"/>
    <n v="14103.34"/>
    <x v="0"/>
    <n v="28206.68"/>
    <x v="19"/>
    <x v="3"/>
    <n v="1.6"/>
  </r>
  <r>
    <x v="635"/>
    <x v="23"/>
    <x v="4"/>
    <n v="19376.32"/>
    <x v="2"/>
    <n v="19376.32"/>
    <x v="91"/>
    <x v="1"/>
    <n v="4.5"/>
  </r>
  <r>
    <x v="636"/>
    <x v="0"/>
    <x v="0"/>
    <n v="41619.15"/>
    <x v="2"/>
    <n v="41619.15"/>
    <x v="120"/>
    <x v="0"/>
    <n v="4.9000000000000004"/>
  </r>
  <r>
    <x v="637"/>
    <x v="4"/>
    <x v="4"/>
    <n v="14084.61"/>
    <x v="3"/>
    <n v="42253.83"/>
    <x v="181"/>
    <x v="2"/>
    <n v="4.9000000000000004"/>
  </r>
  <r>
    <x v="638"/>
    <x v="3"/>
    <x v="3"/>
    <n v="25935.66"/>
    <x v="4"/>
    <n v="129678.3"/>
    <x v="97"/>
    <x v="0"/>
    <n v="3.7"/>
  </r>
  <r>
    <x v="639"/>
    <x v="3"/>
    <x v="3"/>
    <n v="30657.64"/>
    <x v="4"/>
    <n v="153288.20000000001"/>
    <x v="72"/>
    <x v="5"/>
    <n v="4.8"/>
  </r>
  <r>
    <x v="640"/>
    <x v="24"/>
    <x v="1"/>
    <n v="13596.18"/>
    <x v="3"/>
    <n v="40788.54"/>
    <x v="296"/>
    <x v="4"/>
    <n v="2.9"/>
  </r>
  <r>
    <x v="641"/>
    <x v="17"/>
    <x v="2"/>
    <n v="28379.75"/>
    <x v="4"/>
    <n v="141898.75"/>
    <x v="74"/>
    <x v="3"/>
    <n v="4.4000000000000004"/>
  </r>
  <r>
    <x v="642"/>
    <x v="24"/>
    <x v="1"/>
    <n v="12422.09"/>
    <x v="0"/>
    <n v="24844.18"/>
    <x v="158"/>
    <x v="3"/>
    <n v="3.4"/>
  </r>
  <r>
    <x v="643"/>
    <x v="19"/>
    <x v="2"/>
    <n v="18747.939999999999"/>
    <x v="2"/>
    <n v="18747.939999999999"/>
    <x v="277"/>
    <x v="5"/>
    <n v="2.2000000000000002"/>
  </r>
  <r>
    <x v="644"/>
    <x v="3"/>
    <x v="3"/>
    <n v="35524.559999999998"/>
    <x v="2"/>
    <n v="35524.559999999998"/>
    <x v="301"/>
    <x v="1"/>
    <n v="2"/>
  </r>
  <r>
    <x v="645"/>
    <x v="15"/>
    <x v="1"/>
    <n v="36454.629999999997"/>
    <x v="2"/>
    <n v="36454.629999999997"/>
    <x v="211"/>
    <x v="1"/>
    <n v="4.3"/>
  </r>
  <r>
    <x v="646"/>
    <x v="18"/>
    <x v="3"/>
    <n v="23249.27"/>
    <x v="3"/>
    <n v="69747.81"/>
    <x v="228"/>
    <x v="4"/>
    <n v="2.2000000000000002"/>
  </r>
  <r>
    <x v="647"/>
    <x v="19"/>
    <x v="2"/>
    <n v="48842.53"/>
    <x v="2"/>
    <n v="48842.53"/>
    <x v="241"/>
    <x v="5"/>
    <n v="2.7"/>
  </r>
  <r>
    <x v="648"/>
    <x v="9"/>
    <x v="3"/>
    <n v="21881.01"/>
    <x v="2"/>
    <n v="21881.01"/>
    <x v="120"/>
    <x v="2"/>
    <n v="3.5"/>
  </r>
  <r>
    <x v="649"/>
    <x v="0"/>
    <x v="0"/>
    <n v="38964.36"/>
    <x v="4"/>
    <n v="194821.8"/>
    <x v="302"/>
    <x v="2"/>
    <n v="3.9"/>
  </r>
  <r>
    <x v="650"/>
    <x v="23"/>
    <x v="4"/>
    <n v="1435.38"/>
    <x v="1"/>
    <n v="5741.52"/>
    <x v="63"/>
    <x v="1"/>
    <n v="2"/>
  </r>
  <r>
    <x v="651"/>
    <x v="18"/>
    <x v="3"/>
    <n v="2536.16"/>
    <x v="4"/>
    <n v="12680.8"/>
    <x v="2"/>
    <x v="3"/>
    <n v="1.8"/>
  </r>
  <r>
    <x v="652"/>
    <x v="20"/>
    <x v="3"/>
    <n v="21992.38"/>
    <x v="4"/>
    <n v="109961.9"/>
    <x v="55"/>
    <x v="0"/>
    <n v="3.9"/>
  </r>
  <r>
    <x v="653"/>
    <x v="11"/>
    <x v="2"/>
    <n v="20194.2"/>
    <x v="0"/>
    <n v="40388.400000000001"/>
    <x v="152"/>
    <x v="0"/>
    <n v="3.1"/>
  </r>
  <r>
    <x v="654"/>
    <x v="8"/>
    <x v="1"/>
    <n v="18789.810000000001"/>
    <x v="3"/>
    <n v="56369.43"/>
    <x v="303"/>
    <x v="0"/>
    <n v="2"/>
  </r>
  <r>
    <x v="655"/>
    <x v="18"/>
    <x v="3"/>
    <n v="33027.629999999997"/>
    <x v="0"/>
    <n v="66055.259999999995"/>
    <x v="140"/>
    <x v="3"/>
    <n v="1.5"/>
  </r>
  <r>
    <x v="656"/>
    <x v="19"/>
    <x v="2"/>
    <n v="44953.24"/>
    <x v="4"/>
    <n v="224766.2"/>
    <x v="251"/>
    <x v="2"/>
    <n v="1.1000000000000001"/>
  </r>
  <r>
    <x v="657"/>
    <x v="8"/>
    <x v="1"/>
    <n v="47047.23"/>
    <x v="4"/>
    <n v="235236.15"/>
    <x v="304"/>
    <x v="2"/>
    <n v="3"/>
  </r>
  <r>
    <x v="658"/>
    <x v="20"/>
    <x v="3"/>
    <n v="34358.78"/>
    <x v="3"/>
    <n v="103076.34"/>
    <x v="228"/>
    <x v="5"/>
    <n v="2.4"/>
  </r>
  <r>
    <x v="659"/>
    <x v="11"/>
    <x v="2"/>
    <n v="12779.59"/>
    <x v="4"/>
    <n v="63897.95"/>
    <x v="21"/>
    <x v="4"/>
    <n v="2.8"/>
  </r>
  <r>
    <x v="660"/>
    <x v="14"/>
    <x v="0"/>
    <n v="30878.47"/>
    <x v="4"/>
    <n v="154392.35"/>
    <x v="150"/>
    <x v="1"/>
    <n v="2.5"/>
  </r>
  <r>
    <x v="661"/>
    <x v="2"/>
    <x v="2"/>
    <n v="24227.24"/>
    <x v="2"/>
    <n v="24227.24"/>
    <x v="305"/>
    <x v="0"/>
    <n v="2.7"/>
  </r>
  <r>
    <x v="662"/>
    <x v="1"/>
    <x v="1"/>
    <n v="15282.31"/>
    <x v="1"/>
    <n v="61129.24"/>
    <x v="110"/>
    <x v="5"/>
    <n v="2.1"/>
  </r>
  <r>
    <x v="663"/>
    <x v="11"/>
    <x v="2"/>
    <n v="46933.96"/>
    <x v="2"/>
    <n v="46933.96"/>
    <x v="133"/>
    <x v="0"/>
    <n v="2.5"/>
  </r>
  <r>
    <x v="664"/>
    <x v="10"/>
    <x v="2"/>
    <n v="14622.12"/>
    <x v="2"/>
    <n v="14622.12"/>
    <x v="57"/>
    <x v="4"/>
    <n v="4.9000000000000004"/>
  </r>
  <r>
    <x v="665"/>
    <x v="14"/>
    <x v="0"/>
    <n v="34830.28"/>
    <x v="1"/>
    <n v="139321.12"/>
    <x v="171"/>
    <x v="4"/>
    <n v="2.9"/>
  </r>
  <r>
    <x v="666"/>
    <x v="10"/>
    <x v="2"/>
    <n v="43118.19"/>
    <x v="4"/>
    <n v="215590.95"/>
    <x v="297"/>
    <x v="5"/>
    <n v="4"/>
  </r>
  <r>
    <x v="667"/>
    <x v="14"/>
    <x v="0"/>
    <n v="29885.360000000001"/>
    <x v="3"/>
    <n v="89656.08"/>
    <x v="93"/>
    <x v="0"/>
    <n v="4.0999999999999996"/>
  </r>
  <r>
    <x v="668"/>
    <x v="0"/>
    <x v="0"/>
    <n v="7728.33"/>
    <x v="4"/>
    <n v="38641.65"/>
    <x v="78"/>
    <x v="3"/>
    <n v="3.9"/>
  </r>
  <r>
    <x v="669"/>
    <x v="4"/>
    <x v="4"/>
    <n v="36096.74"/>
    <x v="4"/>
    <n v="180483.7"/>
    <x v="18"/>
    <x v="5"/>
    <n v="1.8"/>
  </r>
  <r>
    <x v="670"/>
    <x v="15"/>
    <x v="1"/>
    <n v="19275.66"/>
    <x v="1"/>
    <n v="77102.64"/>
    <x v="239"/>
    <x v="5"/>
    <n v="1.8"/>
  </r>
  <r>
    <x v="671"/>
    <x v="23"/>
    <x v="4"/>
    <n v="15387.59"/>
    <x v="1"/>
    <n v="61550.36"/>
    <x v="289"/>
    <x v="2"/>
    <n v="1"/>
  </r>
  <r>
    <x v="672"/>
    <x v="12"/>
    <x v="3"/>
    <n v="23806.639999999999"/>
    <x v="2"/>
    <n v="23806.639999999999"/>
    <x v="276"/>
    <x v="0"/>
    <n v="2.5"/>
  </r>
  <r>
    <x v="673"/>
    <x v="17"/>
    <x v="2"/>
    <n v="28568.97"/>
    <x v="2"/>
    <n v="28568.97"/>
    <x v="205"/>
    <x v="0"/>
    <n v="1"/>
  </r>
  <r>
    <x v="674"/>
    <x v="18"/>
    <x v="3"/>
    <n v="40753.519999999997"/>
    <x v="2"/>
    <n v="40753.519999999997"/>
    <x v="305"/>
    <x v="0"/>
    <n v="4.2"/>
  </r>
  <r>
    <x v="675"/>
    <x v="9"/>
    <x v="3"/>
    <n v="38571.81"/>
    <x v="1"/>
    <n v="154287.24"/>
    <x v="306"/>
    <x v="3"/>
    <n v="1.2"/>
  </r>
  <r>
    <x v="676"/>
    <x v="12"/>
    <x v="3"/>
    <n v="25161.91"/>
    <x v="4"/>
    <n v="125809.55"/>
    <x v="93"/>
    <x v="2"/>
    <n v="3.4"/>
  </r>
  <r>
    <x v="677"/>
    <x v="10"/>
    <x v="2"/>
    <n v="12124.19"/>
    <x v="3"/>
    <n v="36372.57"/>
    <x v="126"/>
    <x v="0"/>
    <n v="4.7"/>
  </r>
  <r>
    <x v="678"/>
    <x v="0"/>
    <x v="0"/>
    <n v="2013.64"/>
    <x v="3"/>
    <n v="6040.92"/>
    <x v="261"/>
    <x v="1"/>
    <n v="3.8"/>
  </r>
  <r>
    <x v="679"/>
    <x v="16"/>
    <x v="4"/>
    <n v="6002.25"/>
    <x v="3"/>
    <n v="18006.75"/>
    <x v="49"/>
    <x v="3"/>
    <n v="3.5"/>
  </r>
  <r>
    <x v="680"/>
    <x v="22"/>
    <x v="0"/>
    <n v="31332.42"/>
    <x v="1"/>
    <n v="125329.68"/>
    <x v="307"/>
    <x v="4"/>
    <n v="1.4"/>
  </r>
  <r>
    <x v="681"/>
    <x v="16"/>
    <x v="4"/>
    <n v="17539.189999999999"/>
    <x v="2"/>
    <n v="17539.189999999999"/>
    <x v="89"/>
    <x v="2"/>
    <n v="3.9"/>
  </r>
  <r>
    <x v="682"/>
    <x v="21"/>
    <x v="0"/>
    <n v="14865.47"/>
    <x v="0"/>
    <n v="29730.94"/>
    <x v="153"/>
    <x v="1"/>
    <n v="1.6"/>
  </r>
  <r>
    <x v="683"/>
    <x v="24"/>
    <x v="1"/>
    <n v="48130.6"/>
    <x v="4"/>
    <n v="240653"/>
    <x v="81"/>
    <x v="1"/>
    <n v="4"/>
  </r>
  <r>
    <x v="684"/>
    <x v="0"/>
    <x v="0"/>
    <n v="8970.27"/>
    <x v="3"/>
    <n v="26910.81"/>
    <x v="211"/>
    <x v="3"/>
    <n v="1.1000000000000001"/>
  </r>
  <r>
    <x v="685"/>
    <x v="20"/>
    <x v="3"/>
    <n v="14359.73"/>
    <x v="0"/>
    <n v="28719.46"/>
    <x v="42"/>
    <x v="1"/>
    <n v="4.4000000000000004"/>
  </r>
  <r>
    <x v="686"/>
    <x v="10"/>
    <x v="2"/>
    <n v="17009.73"/>
    <x v="1"/>
    <n v="68038.92"/>
    <x v="308"/>
    <x v="0"/>
    <n v="3.7"/>
  </r>
  <r>
    <x v="687"/>
    <x v="15"/>
    <x v="1"/>
    <n v="10385.24"/>
    <x v="0"/>
    <n v="20770.48"/>
    <x v="15"/>
    <x v="1"/>
    <n v="4.7"/>
  </r>
  <r>
    <x v="688"/>
    <x v="9"/>
    <x v="3"/>
    <n v="28261.1"/>
    <x v="0"/>
    <n v="56522.2"/>
    <x v="309"/>
    <x v="2"/>
    <n v="4.3"/>
  </r>
  <r>
    <x v="689"/>
    <x v="1"/>
    <x v="1"/>
    <n v="23320.94"/>
    <x v="0"/>
    <n v="46641.88"/>
    <x v="108"/>
    <x v="2"/>
    <n v="3.2"/>
  </r>
  <r>
    <x v="690"/>
    <x v="15"/>
    <x v="1"/>
    <n v="16038"/>
    <x v="4"/>
    <n v="80190"/>
    <x v="130"/>
    <x v="4"/>
    <n v="2.2999999999999998"/>
  </r>
  <r>
    <x v="691"/>
    <x v="6"/>
    <x v="1"/>
    <n v="43719.71"/>
    <x v="4"/>
    <n v="218598.55"/>
    <x v="308"/>
    <x v="1"/>
    <n v="3.4"/>
  </r>
  <r>
    <x v="692"/>
    <x v="14"/>
    <x v="0"/>
    <n v="19669.48"/>
    <x v="0"/>
    <n v="39338.959999999999"/>
    <x v="288"/>
    <x v="2"/>
    <n v="2"/>
  </r>
  <r>
    <x v="693"/>
    <x v="11"/>
    <x v="2"/>
    <n v="27396.01"/>
    <x v="2"/>
    <n v="27396.01"/>
    <x v="232"/>
    <x v="3"/>
    <n v="4.9000000000000004"/>
  </r>
  <r>
    <x v="694"/>
    <x v="8"/>
    <x v="1"/>
    <n v="13763.17"/>
    <x v="4"/>
    <n v="68815.850000000006"/>
    <x v="188"/>
    <x v="2"/>
    <n v="3.6"/>
  </r>
  <r>
    <x v="695"/>
    <x v="4"/>
    <x v="4"/>
    <n v="6421.63"/>
    <x v="0"/>
    <n v="12843.26"/>
    <x v="139"/>
    <x v="5"/>
    <n v="1.5"/>
  </r>
  <r>
    <x v="696"/>
    <x v="22"/>
    <x v="0"/>
    <n v="4617.2"/>
    <x v="1"/>
    <n v="18468.8"/>
    <x v="20"/>
    <x v="1"/>
    <n v="3.8"/>
  </r>
  <r>
    <x v="697"/>
    <x v="15"/>
    <x v="1"/>
    <n v="6022.31"/>
    <x v="4"/>
    <n v="30111.55"/>
    <x v="193"/>
    <x v="4"/>
    <n v="3.5"/>
  </r>
  <r>
    <x v="698"/>
    <x v="2"/>
    <x v="2"/>
    <n v="38968.519999999997"/>
    <x v="1"/>
    <n v="155874.07999999999"/>
    <x v="177"/>
    <x v="5"/>
    <n v="3.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F70B7C-F7C0-42D2-97F2-18CE83780DFC}"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A35:B41" firstHeaderRow="1" firstDataRow="1" firstDataCol="1"/>
  <pivotFields count="12">
    <pivotField showAll="0"/>
    <pivotField showAll="0"/>
    <pivotField axis="axisRow" showAll="0">
      <items count="6">
        <item x="2"/>
        <item x="0"/>
        <item x="1"/>
        <item x="3"/>
        <item x="4"/>
        <item t="default"/>
      </items>
    </pivotField>
    <pivotField numFmtId="1" showAll="0"/>
    <pivotField showAll="0"/>
    <pivotField dataField="1" numFmtId="1" showAll="0"/>
    <pivotField numFmtId="14" showAll="0">
      <items count="311">
        <item x="36"/>
        <item x="66"/>
        <item x="40"/>
        <item x="244"/>
        <item x="148"/>
        <item x="218"/>
        <item x="124"/>
        <item x="194"/>
        <item x="259"/>
        <item x="11"/>
        <item x="182"/>
        <item x="60"/>
        <item x="223"/>
        <item x="305"/>
        <item x="276"/>
        <item x="189"/>
        <item x="119"/>
        <item x="139"/>
        <item x="142"/>
        <item x="213"/>
        <item x="231"/>
        <item x="248"/>
        <item x="247"/>
        <item x="261"/>
        <item x="8"/>
        <item x="233"/>
        <item x="306"/>
        <item x="265"/>
        <item x="20"/>
        <item x="232"/>
        <item x="103"/>
        <item x="15"/>
        <item x="125"/>
        <item x="63"/>
        <item x="68"/>
        <item x="192"/>
        <item x="154"/>
        <item x="179"/>
        <item x="13"/>
        <item x="263"/>
        <item x="80"/>
        <item x="198"/>
        <item x="220"/>
        <item x="50"/>
        <item x="158"/>
        <item x="164"/>
        <item x="217"/>
        <item x="61"/>
        <item x="262"/>
        <item x="131"/>
        <item x="77"/>
        <item x="10"/>
        <item x="27"/>
        <item x="252"/>
        <item x="25"/>
        <item x="239"/>
        <item x="249"/>
        <item x="112"/>
        <item x="104"/>
        <item x="14"/>
        <item x="264"/>
        <item x="280"/>
        <item x="303"/>
        <item x="269"/>
        <item x="203"/>
        <item x="62"/>
        <item x="294"/>
        <item x="285"/>
        <item x="31"/>
        <item x="108"/>
        <item x="226"/>
        <item x="93"/>
        <item x="260"/>
        <item x="59"/>
        <item x="293"/>
        <item x="147"/>
        <item x="92"/>
        <item x="120"/>
        <item x="241"/>
        <item x="284"/>
        <item x="145"/>
        <item x="174"/>
        <item x="52"/>
        <item x="288"/>
        <item x="2"/>
        <item x="190"/>
        <item x="167"/>
        <item x="188"/>
        <item x="82"/>
        <item x="267"/>
        <item x="99"/>
        <item x="235"/>
        <item x="102"/>
        <item x="237"/>
        <item x="195"/>
        <item x="76"/>
        <item x="85"/>
        <item x="113"/>
        <item x="12"/>
        <item x="133"/>
        <item x="246"/>
        <item x="224"/>
        <item x="37"/>
        <item x="161"/>
        <item x="256"/>
        <item x="32"/>
        <item x="240"/>
        <item x="54"/>
        <item x="300"/>
        <item x="176"/>
        <item x="175"/>
        <item x="110"/>
        <item x="170"/>
        <item x="291"/>
        <item x="271"/>
        <item x="211"/>
        <item x="42"/>
        <item x="19"/>
        <item x="94"/>
        <item x="281"/>
        <item x="33"/>
        <item x="78"/>
        <item x="69"/>
        <item x="205"/>
        <item x="242"/>
        <item x="6"/>
        <item x="64"/>
        <item x="296"/>
        <item x="89"/>
        <item x="212"/>
        <item x="17"/>
        <item x="56"/>
        <item x="150"/>
        <item x="270"/>
        <item x="196"/>
        <item x="90"/>
        <item x="30"/>
        <item x="70"/>
        <item x="245"/>
        <item x="100"/>
        <item x="163"/>
        <item x="298"/>
        <item x="24"/>
        <item x="135"/>
        <item x="22"/>
        <item x="272"/>
        <item x="41"/>
        <item x="251"/>
        <item x="55"/>
        <item x="136"/>
        <item x="34"/>
        <item x="144"/>
        <item x="95"/>
        <item x="26"/>
        <item x="128"/>
        <item x="287"/>
        <item x="301"/>
        <item x="193"/>
        <item x="109"/>
        <item x="44"/>
        <item x="172"/>
        <item x="250"/>
        <item x="225"/>
        <item x="184"/>
        <item x="173"/>
        <item x="255"/>
        <item x="258"/>
        <item x="121"/>
        <item x="153"/>
        <item x="23"/>
        <item x="67"/>
        <item x="106"/>
        <item x="222"/>
        <item x="299"/>
        <item x="53"/>
        <item x="140"/>
        <item x="186"/>
        <item x="156"/>
        <item x="51"/>
        <item x="146"/>
        <item x="88"/>
        <item x="187"/>
        <item x="65"/>
        <item x="307"/>
        <item x="168"/>
        <item x="45"/>
        <item x="96"/>
        <item x="0"/>
        <item x="105"/>
        <item x="181"/>
        <item x="266"/>
        <item x="162"/>
        <item x="118"/>
        <item x="210"/>
        <item x="234"/>
        <item x="91"/>
        <item x="289"/>
        <item x="79"/>
        <item x="283"/>
        <item x="122"/>
        <item x="228"/>
        <item x="273"/>
        <item x="149"/>
        <item x="29"/>
        <item x="107"/>
        <item x="49"/>
        <item x="157"/>
        <item x="185"/>
        <item x="98"/>
        <item x="39"/>
        <item x="216"/>
        <item x="215"/>
        <item x="229"/>
        <item x="152"/>
        <item x="28"/>
        <item x="129"/>
        <item x="169"/>
        <item x="5"/>
        <item x="151"/>
        <item x="257"/>
        <item x="35"/>
        <item x="75"/>
        <item x="114"/>
        <item x="302"/>
        <item x="46"/>
        <item x="277"/>
        <item x="207"/>
        <item x="155"/>
        <item x="279"/>
        <item x="177"/>
        <item x="206"/>
        <item x="73"/>
        <item x="3"/>
        <item x="201"/>
        <item x="202"/>
        <item x="47"/>
        <item x="308"/>
        <item x="171"/>
        <item x="159"/>
        <item x="183"/>
        <item x="275"/>
        <item x="304"/>
        <item x="278"/>
        <item x="126"/>
        <item x="48"/>
        <item x="81"/>
        <item x="21"/>
        <item x="208"/>
        <item x="236"/>
        <item x="268"/>
        <item x="43"/>
        <item x="132"/>
        <item x="214"/>
        <item x="141"/>
        <item x="74"/>
        <item x="138"/>
        <item x="87"/>
        <item x="209"/>
        <item x="254"/>
        <item x="72"/>
        <item x="180"/>
        <item x="191"/>
        <item x="38"/>
        <item x="274"/>
        <item x="253"/>
        <item x="1"/>
        <item x="143"/>
        <item x="130"/>
        <item x="58"/>
        <item x="97"/>
        <item x="290"/>
        <item x="160"/>
        <item x="4"/>
        <item x="166"/>
        <item x="286"/>
        <item x="230"/>
        <item x="123"/>
        <item x="116"/>
        <item x="57"/>
        <item x="127"/>
        <item x="16"/>
        <item x="238"/>
        <item x="219"/>
        <item x="200"/>
        <item x="111"/>
        <item x="83"/>
        <item x="134"/>
        <item x="101"/>
        <item x="292"/>
        <item x="297"/>
        <item x="7"/>
        <item x="243"/>
        <item x="282"/>
        <item x="18"/>
        <item x="199"/>
        <item x="137"/>
        <item x="227"/>
        <item x="309"/>
        <item x="117"/>
        <item x="84"/>
        <item x="221"/>
        <item x="165"/>
        <item x="178"/>
        <item x="86"/>
        <item x="115"/>
        <item x="295"/>
        <item x="204"/>
        <item x="197"/>
        <item x="9"/>
        <item x="71"/>
        <item t="default"/>
      </items>
    </pivotField>
    <pivotField showAll="0">
      <items count="7">
        <item x="3"/>
        <item x="4"/>
        <item x="0"/>
        <item x="5"/>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Items count="1">
    <i/>
  </colItems>
  <dataFields count="1">
    <dataField name="Sum of Total Sales (INR)" fld="5" showDataAs="percentOfTotal" baseField="2" baseItem="0" numFmtId="10"/>
  </dataFields>
  <formats count="6">
    <format dxfId="5">
      <pivotArea type="all" dataOnly="0" outline="0" fieldPosition="0"/>
    </format>
    <format dxfId="4">
      <pivotArea outline="0" collapsedLevelsAreSubtotals="1" fieldPosition="0"/>
    </format>
    <format dxfId="3">
      <pivotArea field="2" type="button" dataOnly="0" labelOnly="1" outline="0" axis="axisRow" fieldPosition="0"/>
    </format>
    <format dxfId="2">
      <pivotArea dataOnly="0" labelOnly="1" fieldPosition="0">
        <references count="1">
          <reference field="2" count="0"/>
        </references>
      </pivotArea>
    </format>
    <format dxfId="1">
      <pivotArea dataOnly="0" labelOnly="1" grandRow="1" outline="0" fieldPosition="0"/>
    </format>
    <format dxfId="0">
      <pivotArea dataOnly="0" labelOnly="1" outline="0" axis="axisValues" fieldPosition="0"/>
    </format>
  </formats>
  <chartFormats count="6">
    <chartFormat chart="3" format="12" series="1">
      <pivotArea type="data" outline="0" fieldPosition="0">
        <references count="1">
          <reference field="4294967294" count="1" selected="0">
            <x v="0"/>
          </reference>
        </references>
      </pivotArea>
    </chartFormat>
    <chartFormat chart="3" format="13">
      <pivotArea type="data" outline="0" fieldPosition="0">
        <references count="2">
          <reference field="4294967294" count="1" selected="0">
            <x v="0"/>
          </reference>
          <reference field="2" count="1" selected="0">
            <x v="0"/>
          </reference>
        </references>
      </pivotArea>
    </chartFormat>
    <chartFormat chart="3" format="14">
      <pivotArea type="data" outline="0" fieldPosition="0">
        <references count="2">
          <reference field="4294967294" count="1" selected="0">
            <x v="0"/>
          </reference>
          <reference field="2" count="1" selected="0">
            <x v="1"/>
          </reference>
        </references>
      </pivotArea>
    </chartFormat>
    <chartFormat chart="3" format="15">
      <pivotArea type="data" outline="0" fieldPosition="0">
        <references count="2">
          <reference field="4294967294" count="1" selected="0">
            <x v="0"/>
          </reference>
          <reference field="2" count="1" selected="0">
            <x v="2"/>
          </reference>
        </references>
      </pivotArea>
    </chartFormat>
    <chartFormat chart="3" format="16">
      <pivotArea type="data" outline="0" fieldPosition="0">
        <references count="2">
          <reference field="4294967294" count="1" selected="0">
            <x v="0"/>
          </reference>
          <reference field="2" count="1" selected="0">
            <x v="3"/>
          </reference>
        </references>
      </pivotArea>
    </chartFormat>
    <chartFormat chart="3"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25C208F-F776-4808-A67F-E553A1A05A2D}" name="PivotTable6"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2" colHeaderCaption="Count of Quantity Sold">
  <location ref="E71:H98" firstHeaderRow="1" firstDataRow="2" firstDataCol="1" rowPageCount="1" colPageCount="1"/>
  <pivotFields count="12">
    <pivotField showAll="0"/>
    <pivotField axis="axisRow" showAll="0">
      <items count="26">
        <item x="16"/>
        <item x="13"/>
        <item x="14"/>
        <item x="4"/>
        <item x="24"/>
        <item x="0"/>
        <item x="2"/>
        <item x="21"/>
        <item x="17"/>
        <item x="20"/>
        <item x="8"/>
        <item x="1"/>
        <item x="18"/>
        <item x="11"/>
        <item x="5"/>
        <item x="10"/>
        <item x="22"/>
        <item x="19"/>
        <item x="12"/>
        <item x="3"/>
        <item x="6"/>
        <item x="23"/>
        <item x="7"/>
        <item x="9"/>
        <item x="15"/>
        <item t="default"/>
      </items>
    </pivotField>
    <pivotField axis="axisPage" showAll="0">
      <items count="6">
        <item x="2"/>
        <item x="0"/>
        <item x="1"/>
        <item x="3"/>
        <item x="4"/>
        <item t="default"/>
      </items>
    </pivotField>
    <pivotField numFmtId="1" showAll="0"/>
    <pivotField dataField="1" showAll="0">
      <items count="6">
        <item x="2"/>
        <item x="0"/>
        <item x="3"/>
        <item x="1"/>
        <item x="4"/>
        <item t="default"/>
      </items>
    </pivotField>
    <pivotField numFmtId="1" showAll="0"/>
    <pivotField numFmtId="14" showAll="0">
      <items count="311">
        <item x="36"/>
        <item x="66"/>
        <item x="40"/>
        <item x="244"/>
        <item x="148"/>
        <item x="218"/>
        <item x="124"/>
        <item x="194"/>
        <item x="259"/>
        <item x="11"/>
        <item x="182"/>
        <item x="60"/>
        <item x="223"/>
        <item x="305"/>
        <item x="276"/>
        <item x="189"/>
        <item x="119"/>
        <item x="139"/>
        <item x="142"/>
        <item x="213"/>
        <item x="231"/>
        <item x="248"/>
        <item x="247"/>
        <item x="261"/>
        <item x="8"/>
        <item x="233"/>
        <item x="306"/>
        <item x="265"/>
        <item x="20"/>
        <item x="232"/>
        <item x="103"/>
        <item x="15"/>
        <item x="125"/>
        <item x="63"/>
        <item x="68"/>
        <item x="192"/>
        <item x="154"/>
        <item x="179"/>
        <item x="13"/>
        <item x="263"/>
        <item x="80"/>
        <item x="198"/>
        <item x="220"/>
        <item x="50"/>
        <item x="158"/>
        <item x="164"/>
        <item x="217"/>
        <item x="61"/>
        <item x="262"/>
        <item x="131"/>
        <item x="77"/>
        <item x="10"/>
        <item x="27"/>
        <item x="252"/>
        <item x="25"/>
        <item x="239"/>
        <item x="249"/>
        <item x="112"/>
        <item x="104"/>
        <item x="14"/>
        <item x="264"/>
        <item x="280"/>
        <item x="303"/>
        <item x="269"/>
        <item x="203"/>
        <item x="62"/>
        <item x="294"/>
        <item x="285"/>
        <item x="31"/>
        <item x="108"/>
        <item x="226"/>
        <item x="93"/>
        <item x="260"/>
        <item x="59"/>
        <item x="293"/>
        <item x="147"/>
        <item x="92"/>
        <item x="120"/>
        <item x="241"/>
        <item x="284"/>
        <item x="145"/>
        <item x="174"/>
        <item x="52"/>
        <item x="288"/>
        <item x="2"/>
        <item x="190"/>
        <item x="167"/>
        <item x="188"/>
        <item x="82"/>
        <item x="267"/>
        <item x="99"/>
        <item x="235"/>
        <item x="102"/>
        <item x="237"/>
        <item x="195"/>
        <item x="76"/>
        <item x="85"/>
        <item x="113"/>
        <item x="12"/>
        <item x="133"/>
        <item x="246"/>
        <item x="224"/>
        <item x="37"/>
        <item x="161"/>
        <item x="256"/>
        <item x="32"/>
        <item x="240"/>
        <item x="54"/>
        <item x="300"/>
        <item x="176"/>
        <item x="175"/>
        <item x="110"/>
        <item x="170"/>
        <item x="291"/>
        <item x="271"/>
        <item x="211"/>
        <item x="42"/>
        <item x="19"/>
        <item x="94"/>
        <item x="281"/>
        <item x="33"/>
        <item x="78"/>
        <item x="69"/>
        <item x="205"/>
        <item x="242"/>
        <item x="6"/>
        <item x="64"/>
        <item x="296"/>
        <item x="89"/>
        <item x="212"/>
        <item x="17"/>
        <item x="56"/>
        <item x="150"/>
        <item x="270"/>
        <item x="196"/>
        <item x="90"/>
        <item x="30"/>
        <item x="70"/>
        <item x="245"/>
        <item x="100"/>
        <item x="163"/>
        <item x="298"/>
        <item x="24"/>
        <item x="135"/>
        <item x="22"/>
        <item x="272"/>
        <item x="41"/>
        <item x="251"/>
        <item x="55"/>
        <item x="136"/>
        <item x="34"/>
        <item x="144"/>
        <item x="95"/>
        <item x="26"/>
        <item x="128"/>
        <item x="287"/>
        <item x="301"/>
        <item x="193"/>
        <item x="109"/>
        <item x="44"/>
        <item x="172"/>
        <item x="250"/>
        <item x="225"/>
        <item x="184"/>
        <item x="173"/>
        <item x="255"/>
        <item x="258"/>
        <item x="121"/>
        <item x="153"/>
        <item x="23"/>
        <item x="67"/>
        <item x="106"/>
        <item x="222"/>
        <item x="299"/>
        <item x="53"/>
        <item x="140"/>
        <item x="186"/>
        <item x="156"/>
        <item x="51"/>
        <item x="146"/>
        <item x="88"/>
        <item x="187"/>
        <item x="65"/>
        <item x="307"/>
        <item x="168"/>
        <item x="45"/>
        <item x="96"/>
        <item x="0"/>
        <item x="105"/>
        <item x="181"/>
        <item x="266"/>
        <item x="162"/>
        <item x="118"/>
        <item x="210"/>
        <item x="234"/>
        <item x="91"/>
        <item x="289"/>
        <item x="79"/>
        <item x="283"/>
        <item x="122"/>
        <item x="228"/>
        <item x="273"/>
        <item x="149"/>
        <item x="29"/>
        <item x="107"/>
        <item x="49"/>
        <item x="157"/>
        <item x="185"/>
        <item x="98"/>
        <item x="39"/>
        <item x="216"/>
        <item x="215"/>
        <item x="229"/>
        <item x="152"/>
        <item x="28"/>
        <item x="129"/>
        <item x="169"/>
        <item x="5"/>
        <item x="151"/>
        <item x="257"/>
        <item x="35"/>
        <item x="75"/>
        <item x="114"/>
        <item x="302"/>
        <item x="46"/>
        <item x="277"/>
        <item x="207"/>
        <item x="155"/>
        <item x="279"/>
        <item x="177"/>
        <item x="206"/>
        <item x="73"/>
        <item x="3"/>
        <item x="201"/>
        <item x="202"/>
        <item x="47"/>
        <item x="308"/>
        <item x="171"/>
        <item x="159"/>
        <item x="183"/>
        <item x="275"/>
        <item x="304"/>
        <item x="278"/>
        <item x="126"/>
        <item x="48"/>
        <item x="81"/>
        <item x="21"/>
        <item x="208"/>
        <item x="236"/>
        <item x="268"/>
        <item x="43"/>
        <item x="132"/>
        <item x="214"/>
        <item x="141"/>
        <item x="74"/>
        <item x="138"/>
        <item x="87"/>
        <item x="209"/>
        <item x="254"/>
        <item x="72"/>
        <item x="180"/>
        <item x="191"/>
        <item x="38"/>
        <item x="274"/>
        <item x="253"/>
        <item x="1"/>
        <item x="143"/>
        <item x="130"/>
        <item x="58"/>
        <item x="97"/>
        <item x="290"/>
        <item x="160"/>
        <item x="4"/>
        <item x="166"/>
        <item x="286"/>
        <item x="230"/>
        <item x="123"/>
        <item x="116"/>
        <item x="57"/>
        <item x="127"/>
        <item x="16"/>
        <item x="238"/>
        <item x="219"/>
        <item x="200"/>
        <item x="111"/>
        <item x="83"/>
        <item x="134"/>
        <item x="101"/>
        <item x="292"/>
        <item x="297"/>
        <item x="7"/>
        <item x="243"/>
        <item x="282"/>
        <item x="18"/>
        <item x="199"/>
        <item x="137"/>
        <item x="227"/>
        <item x="309"/>
        <item x="117"/>
        <item x="84"/>
        <item x="221"/>
        <item x="165"/>
        <item x="178"/>
        <item x="86"/>
        <item x="115"/>
        <item x="295"/>
        <item x="204"/>
        <item x="197"/>
        <item x="9"/>
        <item x="71"/>
        <item t="default"/>
      </items>
    </pivotField>
    <pivotField showAll="0">
      <items count="7">
        <item x="3"/>
        <item x="4"/>
        <item x="0"/>
        <item x="5"/>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axis="axisCol" showAll="0">
      <items count="5">
        <item x="0"/>
        <item x="1"/>
        <item x="2"/>
        <item x="3"/>
        <item t="default"/>
      </items>
    </pivotField>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11"/>
  </colFields>
  <colItems count="3">
    <i>
      <x v="1"/>
    </i>
    <i>
      <x v="2"/>
    </i>
    <i t="grand">
      <x/>
    </i>
  </colItems>
  <pageFields count="1">
    <pageField fld="2" hier="-1"/>
  </pageFields>
  <dataFields count="1">
    <dataField name="Sum of Quantity Sold" fld="4" baseField="0" baseItem="0"/>
  </dataFields>
  <formats count="8">
    <format dxfId="13">
      <pivotArea type="all" dataOnly="0" outline="0" fieldPosition="0"/>
    </format>
    <format dxfId="12">
      <pivotArea outline="0" collapsedLevelsAreSubtotals="1" fieldPosition="0"/>
    </format>
    <format dxfId="11">
      <pivotArea type="origin" dataOnly="0" labelOnly="1" outline="0" fieldPosition="0"/>
    </format>
    <format dxfId="10">
      <pivotArea field="2" type="button" dataOnly="0" labelOnly="1" outline="0" axis="axisPage" fieldPosition="0"/>
    </format>
    <format dxfId="9">
      <pivotArea type="topRight" dataOnly="0" labelOnly="1" outline="0" fieldPosition="0"/>
    </format>
    <format dxfId="8">
      <pivotArea field="4" type="button" dataOnly="0" labelOnly="1" outline="0"/>
    </format>
    <format dxfId="7">
      <pivotArea dataOnly="0" labelOnly="1" grandRow="1" outline="0" fieldPosition="0"/>
    </format>
    <format dxfId="6">
      <pivotArea dataOnly="0" labelOnly="1" grandCol="1" outline="0" fieldPosition="0"/>
    </format>
  </formats>
  <chartFormats count="2">
    <chartFormat chart="11" format="37" series="1">
      <pivotArea type="data" outline="0" fieldPosition="0">
        <references count="2">
          <reference field="4294967294" count="1" selected="0">
            <x v="0"/>
          </reference>
          <reference field="11" count="1" selected="0">
            <x v="1"/>
          </reference>
        </references>
      </pivotArea>
    </chartFormat>
    <chartFormat chart="11" format="38" series="1">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66A75D5-3EFA-4541-81A4-CFCB406F96B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Sales month">
  <location ref="A49:H63" firstHeaderRow="1" firstDataRow="2" firstDataCol="1"/>
  <pivotFields count="12">
    <pivotField showAll="0"/>
    <pivotField showAll="0"/>
    <pivotField showAll="0">
      <items count="6">
        <item x="2"/>
        <item x="0"/>
        <item x="1"/>
        <item x="3"/>
        <item x="4"/>
        <item t="default"/>
      </items>
    </pivotField>
    <pivotField numFmtId="1" showAll="0"/>
    <pivotField showAll="0"/>
    <pivotField dataField="1" numFmtId="1" showAll="0"/>
    <pivotField numFmtId="14" showAll="0">
      <items count="311">
        <item x="36"/>
        <item x="66"/>
        <item x="40"/>
        <item x="244"/>
        <item x="148"/>
        <item x="218"/>
        <item x="124"/>
        <item x="194"/>
        <item x="259"/>
        <item x="11"/>
        <item x="182"/>
        <item x="60"/>
        <item x="223"/>
        <item x="305"/>
        <item x="276"/>
        <item x="189"/>
        <item x="119"/>
        <item x="139"/>
        <item x="142"/>
        <item x="213"/>
        <item x="231"/>
        <item x="248"/>
        <item x="247"/>
        <item x="261"/>
        <item x="8"/>
        <item x="233"/>
        <item x="306"/>
        <item x="265"/>
        <item x="20"/>
        <item x="232"/>
        <item x="103"/>
        <item x="15"/>
        <item x="125"/>
        <item x="63"/>
        <item x="68"/>
        <item x="192"/>
        <item x="154"/>
        <item x="179"/>
        <item x="13"/>
        <item x="263"/>
        <item x="80"/>
        <item x="198"/>
        <item x="220"/>
        <item x="50"/>
        <item x="158"/>
        <item x="164"/>
        <item x="217"/>
        <item x="61"/>
        <item x="262"/>
        <item x="131"/>
        <item x="77"/>
        <item x="10"/>
        <item x="27"/>
        <item x="252"/>
        <item x="25"/>
        <item x="239"/>
        <item x="249"/>
        <item x="112"/>
        <item x="104"/>
        <item x="14"/>
        <item x="264"/>
        <item x="280"/>
        <item x="303"/>
        <item x="269"/>
        <item x="203"/>
        <item x="62"/>
        <item x="294"/>
        <item x="285"/>
        <item x="31"/>
        <item x="108"/>
        <item x="226"/>
        <item x="93"/>
        <item x="260"/>
        <item x="59"/>
        <item x="293"/>
        <item x="147"/>
        <item x="92"/>
        <item x="120"/>
        <item x="241"/>
        <item x="284"/>
        <item x="145"/>
        <item x="174"/>
        <item x="52"/>
        <item x="288"/>
        <item x="2"/>
        <item x="190"/>
        <item x="167"/>
        <item x="188"/>
        <item x="82"/>
        <item x="267"/>
        <item x="99"/>
        <item x="235"/>
        <item x="102"/>
        <item x="237"/>
        <item x="195"/>
        <item x="76"/>
        <item x="85"/>
        <item x="113"/>
        <item x="12"/>
        <item x="133"/>
        <item x="246"/>
        <item x="224"/>
        <item x="37"/>
        <item x="161"/>
        <item x="256"/>
        <item x="32"/>
        <item x="240"/>
        <item x="54"/>
        <item x="300"/>
        <item x="176"/>
        <item x="175"/>
        <item x="110"/>
        <item x="170"/>
        <item x="291"/>
        <item x="271"/>
        <item x="211"/>
        <item x="42"/>
        <item x="19"/>
        <item x="94"/>
        <item x="281"/>
        <item x="33"/>
        <item x="78"/>
        <item x="69"/>
        <item x="205"/>
        <item x="242"/>
        <item x="6"/>
        <item x="64"/>
        <item x="296"/>
        <item x="89"/>
        <item x="212"/>
        <item x="17"/>
        <item x="56"/>
        <item x="150"/>
        <item x="270"/>
        <item x="196"/>
        <item x="90"/>
        <item x="30"/>
        <item x="70"/>
        <item x="245"/>
        <item x="100"/>
        <item x="163"/>
        <item x="298"/>
        <item x="24"/>
        <item x="135"/>
        <item x="22"/>
        <item x="272"/>
        <item x="41"/>
        <item x="251"/>
        <item x="55"/>
        <item x="136"/>
        <item x="34"/>
        <item x="144"/>
        <item x="95"/>
        <item x="26"/>
        <item x="128"/>
        <item x="287"/>
        <item x="301"/>
        <item x="193"/>
        <item x="109"/>
        <item x="44"/>
        <item x="172"/>
        <item x="250"/>
        <item x="225"/>
        <item x="184"/>
        <item x="173"/>
        <item x="255"/>
        <item x="258"/>
        <item x="121"/>
        <item x="153"/>
        <item x="23"/>
        <item x="67"/>
        <item x="106"/>
        <item x="222"/>
        <item x="299"/>
        <item x="53"/>
        <item x="140"/>
        <item x="186"/>
        <item x="156"/>
        <item x="51"/>
        <item x="146"/>
        <item x="88"/>
        <item x="187"/>
        <item x="65"/>
        <item x="307"/>
        <item x="168"/>
        <item x="45"/>
        <item x="96"/>
        <item x="0"/>
        <item x="105"/>
        <item x="181"/>
        <item x="266"/>
        <item x="162"/>
        <item x="118"/>
        <item x="210"/>
        <item x="234"/>
        <item x="91"/>
        <item x="289"/>
        <item x="79"/>
        <item x="283"/>
        <item x="122"/>
        <item x="228"/>
        <item x="273"/>
        <item x="149"/>
        <item x="29"/>
        <item x="107"/>
        <item x="49"/>
        <item x="157"/>
        <item x="185"/>
        <item x="98"/>
        <item x="39"/>
        <item x="216"/>
        <item x="215"/>
        <item x="229"/>
        <item x="152"/>
        <item x="28"/>
        <item x="129"/>
        <item x="169"/>
        <item x="5"/>
        <item x="151"/>
        <item x="257"/>
        <item x="35"/>
        <item x="75"/>
        <item x="114"/>
        <item x="302"/>
        <item x="46"/>
        <item x="277"/>
        <item x="207"/>
        <item x="155"/>
        <item x="279"/>
        <item x="177"/>
        <item x="206"/>
        <item x="73"/>
        <item x="3"/>
        <item x="201"/>
        <item x="202"/>
        <item x="47"/>
        <item x="308"/>
        <item x="171"/>
        <item x="159"/>
        <item x="183"/>
        <item x="275"/>
        <item x="304"/>
        <item x="278"/>
        <item x="126"/>
        <item x="48"/>
        <item x="81"/>
        <item x="21"/>
        <item x="208"/>
        <item x="236"/>
        <item x="268"/>
        <item x="43"/>
        <item x="132"/>
        <item x="214"/>
        <item x="141"/>
        <item x="74"/>
        <item x="138"/>
        <item x="87"/>
        <item x="209"/>
        <item x="254"/>
        <item x="72"/>
        <item x="180"/>
        <item x="191"/>
        <item x="38"/>
        <item x="274"/>
        <item x="253"/>
        <item x="1"/>
        <item x="143"/>
        <item x="130"/>
        <item x="58"/>
        <item x="97"/>
        <item x="290"/>
        <item x="160"/>
        <item x="4"/>
        <item x="166"/>
        <item x="286"/>
        <item x="230"/>
        <item x="123"/>
        <item x="116"/>
        <item x="57"/>
        <item x="127"/>
        <item x="16"/>
        <item x="238"/>
        <item x="219"/>
        <item x="200"/>
        <item x="111"/>
        <item x="83"/>
        <item x="134"/>
        <item x="101"/>
        <item x="292"/>
        <item x="297"/>
        <item x="7"/>
        <item x="243"/>
        <item x="282"/>
        <item x="18"/>
        <item x="199"/>
        <item x="137"/>
        <item x="227"/>
        <item x="309"/>
        <item x="117"/>
        <item x="84"/>
        <item x="221"/>
        <item x="165"/>
        <item x="178"/>
        <item x="86"/>
        <item x="115"/>
        <item x="295"/>
        <item x="204"/>
        <item x="197"/>
        <item x="9"/>
        <item x="71"/>
        <item t="default"/>
      </items>
    </pivotField>
    <pivotField axis="axisCol" showAll="0">
      <items count="7">
        <item x="3"/>
        <item x="4"/>
        <item x="0"/>
        <item x="5"/>
        <item x="1"/>
        <item x="2"/>
        <item t="default"/>
      </items>
    </pivotField>
    <pivotField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9"/>
  </rowFields>
  <rowItems count="13">
    <i>
      <x v="1"/>
    </i>
    <i>
      <x v="2"/>
    </i>
    <i>
      <x v="3"/>
    </i>
    <i>
      <x v="4"/>
    </i>
    <i>
      <x v="5"/>
    </i>
    <i>
      <x v="6"/>
    </i>
    <i>
      <x v="7"/>
    </i>
    <i>
      <x v="8"/>
    </i>
    <i>
      <x v="9"/>
    </i>
    <i>
      <x v="10"/>
    </i>
    <i>
      <x v="11"/>
    </i>
    <i>
      <x v="12"/>
    </i>
    <i t="grand">
      <x/>
    </i>
  </rowItems>
  <colFields count="1">
    <field x="7"/>
  </colFields>
  <colItems count="7">
    <i>
      <x/>
    </i>
    <i>
      <x v="1"/>
    </i>
    <i>
      <x v="2"/>
    </i>
    <i>
      <x v="3"/>
    </i>
    <i>
      <x v="4"/>
    </i>
    <i>
      <x v="5"/>
    </i>
    <i t="grand">
      <x/>
    </i>
  </colItems>
  <dataFields count="1">
    <dataField name="Sum of Total Sales (INR)" fld="5" baseField="0" baseItem="0" numFmtId="1"/>
  </dataFields>
  <formats count="10">
    <format dxfId="23">
      <pivotArea type="all" dataOnly="0" outline="0" fieldPosition="0"/>
    </format>
    <format dxfId="22">
      <pivotArea outline="0" collapsedLevelsAreSubtotals="1" fieldPosition="0"/>
    </format>
    <format dxfId="21">
      <pivotArea type="origin" dataOnly="0" labelOnly="1" outline="0" fieldPosition="0"/>
    </format>
    <format dxfId="20">
      <pivotArea field="7" type="button" dataOnly="0" labelOnly="1" outline="0" axis="axisCol" fieldPosition="0"/>
    </format>
    <format dxfId="19">
      <pivotArea type="topRight" dataOnly="0" labelOnly="1" outline="0" fieldPosition="0"/>
    </format>
    <format dxfId="18">
      <pivotArea field="9" type="button" dataOnly="0" labelOnly="1" outline="0" axis="axisRow" fieldPosition="0"/>
    </format>
    <format dxfId="17">
      <pivotArea dataOnly="0" labelOnly="1" fieldPosition="0">
        <references count="1">
          <reference field="9" count="12">
            <x v="1"/>
            <x v="2"/>
            <x v="3"/>
            <x v="4"/>
            <x v="5"/>
            <x v="6"/>
            <x v="7"/>
            <x v="8"/>
            <x v="9"/>
            <x v="10"/>
            <x v="11"/>
            <x v="12"/>
          </reference>
        </references>
      </pivotArea>
    </format>
    <format dxfId="16">
      <pivotArea dataOnly="0" labelOnly="1" grandRow="1" outline="0" fieldPosition="0"/>
    </format>
    <format dxfId="15">
      <pivotArea dataOnly="0" labelOnly="1" fieldPosition="0">
        <references count="1">
          <reference field="7" count="0"/>
        </references>
      </pivotArea>
    </format>
    <format dxfId="14">
      <pivotArea dataOnly="0" labelOnly="1" grandCol="1" outline="0" fieldPosition="0"/>
    </format>
  </formats>
  <chartFormats count="7">
    <chartFormat chart="5" format="12" series="1">
      <pivotArea type="data" outline="0" fieldPosition="0">
        <references count="2">
          <reference field="4294967294" count="1" selected="0">
            <x v="0"/>
          </reference>
          <reference field="7" count="1" selected="0">
            <x v="0"/>
          </reference>
        </references>
      </pivotArea>
    </chartFormat>
    <chartFormat chart="5" format="13" series="1">
      <pivotArea type="data" outline="0" fieldPosition="0">
        <references count="2">
          <reference field="4294967294" count="1" selected="0">
            <x v="0"/>
          </reference>
          <reference field="7" count="1" selected="0">
            <x v="1"/>
          </reference>
        </references>
      </pivotArea>
    </chartFormat>
    <chartFormat chart="5" format="14" series="1">
      <pivotArea type="data" outline="0" fieldPosition="0">
        <references count="2">
          <reference field="4294967294" count="1" selected="0">
            <x v="0"/>
          </reference>
          <reference field="7" count="1" selected="0">
            <x v="2"/>
          </reference>
        </references>
      </pivotArea>
    </chartFormat>
    <chartFormat chart="5" format="15" series="1">
      <pivotArea type="data" outline="0" fieldPosition="0">
        <references count="2">
          <reference field="4294967294" count="1" selected="0">
            <x v="0"/>
          </reference>
          <reference field="7" count="1" selected="0">
            <x v="3"/>
          </reference>
        </references>
      </pivotArea>
    </chartFormat>
    <chartFormat chart="5" format="16" series="1">
      <pivotArea type="data" outline="0" fieldPosition="0">
        <references count="2">
          <reference field="4294967294" count="1" selected="0">
            <x v="0"/>
          </reference>
          <reference field="7" count="1" selected="0">
            <x v="4"/>
          </reference>
        </references>
      </pivotArea>
    </chartFormat>
    <chartFormat chart="5" format="17" series="1">
      <pivotArea type="data" outline="0" fieldPosition="0">
        <references count="2">
          <reference field="4294967294" count="1" selected="0">
            <x v="0"/>
          </reference>
          <reference field="7" count="1" selected="0">
            <x v="5"/>
          </reference>
        </references>
      </pivotArea>
    </chartFormat>
    <chartFormat chart="5"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5EF7396-3E88-4B26-9104-E6DACB662D3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ategory">
  <location ref="A9:C15" firstHeaderRow="0" firstDataRow="1" firstDataCol="1"/>
  <pivotFields count="9">
    <pivotField showAll="0"/>
    <pivotField showAll="0">
      <items count="26">
        <item x="16"/>
        <item x="13"/>
        <item x="14"/>
        <item x="4"/>
        <item x="24"/>
        <item x="0"/>
        <item x="2"/>
        <item x="21"/>
        <item x="17"/>
        <item x="20"/>
        <item x="8"/>
        <item x="1"/>
        <item x="18"/>
        <item x="11"/>
        <item x="5"/>
        <item x="10"/>
        <item x="22"/>
        <item x="19"/>
        <item x="12"/>
        <item x="3"/>
        <item x="6"/>
        <item x="23"/>
        <item x="7"/>
        <item x="9"/>
        <item x="15"/>
        <item t="default"/>
      </items>
    </pivotField>
    <pivotField axis="axisRow" showAll="0">
      <items count="6">
        <item x="2"/>
        <item x="0"/>
        <item x="1"/>
        <item x="3"/>
        <item x="4"/>
        <item t="default"/>
      </items>
    </pivotField>
    <pivotField dataField="1" numFmtId="1" showAll="0"/>
    <pivotField showAll="0"/>
    <pivotField dataField="1" numFmtId="1" showAll="0"/>
    <pivotField numFmtId="14" showAll="0">
      <items count="311">
        <item x="36"/>
        <item x="66"/>
        <item x="40"/>
        <item x="244"/>
        <item x="148"/>
        <item x="218"/>
        <item x="124"/>
        <item x="194"/>
        <item x="259"/>
        <item x="11"/>
        <item x="182"/>
        <item x="60"/>
        <item x="223"/>
        <item x="305"/>
        <item x="276"/>
        <item x="189"/>
        <item x="119"/>
        <item x="139"/>
        <item x="142"/>
        <item x="213"/>
        <item x="231"/>
        <item x="248"/>
        <item x="247"/>
        <item x="261"/>
        <item x="8"/>
        <item x="233"/>
        <item x="306"/>
        <item x="265"/>
        <item x="20"/>
        <item x="232"/>
        <item x="103"/>
        <item x="15"/>
        <item x="125"/>
        <item x="63"/>
        <item x="68"/>
        <item x="192"/>
        <item x="154"/>
        <item x="179"/>
        <item x="13"/>
        <item x="263"/>
        <item x="80"/>
        <item x="198"/>
        <item x="220"/>
        <item x="50"/>
        <item x="158"/>
        <item x="164"/>
        <item x="217"/>
        <item x="61"/>
        <item x="262"/>
        <item x="131"/>
        <item x="77"/>
        <item x="10"/>
        <item x="27"/>
        <item x="252"/>
        <item x="25"/>
        <item x="239"/>
        <item x="249"/>
        <item x="112"/>
        <item x="104"/>
        <item x="14"/>
        <item x="264"/>
        <item x="280"/>
        <item x="303"/>
        <item x="269"/>
        <item x="203"/>
        <item x="62"/>
        <item x="294"/>
        <item x="285"/>
        <item x="31"/>
        <item x="108"/>
        <item x="226"/>
        <item x="93"/>
        <item x="260"/>
        <item x="59"/>
        <item x="293"/>
        <item x="147"/>
        <item x="92"/>
        <item x="120"/>
        <item x="241"/>
        <item x="284"/>
        <item x="145"/>
        <item x="174"/>
        <item x="52"/>
        <item x="288"/>
        <item x="2"/>
        <item x="190"/>
        <item x="167"/>
        <item x="188"/>
        <item x="82"/>
        <item x="267"/>
        <item x="99"/>
        <item x="235"/>
        <item x="102"/>
        <item x="237"/>
        <item x="195"/>
        <item x="76"/>
        <item x="85"/>
        <item x="113"/>
        <item x="12"/>
        <item x="133"/>
        <item x="246"/>
        <item x="224"/>
        <item x="37"/>
        <item x="161"/>
        <item x="256"/>
        <item x="32"/>
        <item x="240"/>
        <item x="54"/>
        <item x="300"/>
        <item x="176"/>
        <item x="175"/>
        <item x="110"/>
        <item x="170"/>
        <item x="291"/>
        <item x="271"/>
        <item x="211"/>
        <item x="42"/>
        <item x="19"/>
        <item x="94"/>
        <item x="281"/>
        <item x="33"/>
        <item x="78"/>
        <item x="69"/>
        <item x="205"/>
        <item x="242"/>
        <item x="6"/>
        <item x="64"/>
        <item x="296"/>
        <item x="89"/>
        <item x="212"/>
        <item x="17"/>
        <item x="56"/>
        <item x="150"/>
        <item x="270"/>
        <item x="196"/>
        <item x="90"/>
        <item x="30"/>
        <item x="70"/>
        <item x="245"/>
        <item x="100"/>
        <item x="163"/>
        <item x="298"/>
        <item x="24"/>
        <item x="135"/>
        <item x="22"/>
        <item x="272"/>
        <item x="41"/>
        <item x="251"/>
        <item x="55"/>
        <item x="136"/>
        <item x="34"/>
        <item x="144"/>
        <item x="95"/>
        <item x="26"/>
        <item x="128"/>
        <item x="287"/>
        <item x="301"/>
        <item x="193"/>
        <item x="109"/>
        <item x="44"/>
        <item x="172"/>
        <item x="250"/>
        <item x="225"/>
        <item x="184"/>
        <item x="173"/>
        <item x="255"/>
        <item x="258"/>
        <item x="121"/>
        <item x="153"/>
        <item x="23"/>
        <item x="67"/>
        <item x="106"/>
        <item x="222"/>
        <item x="299"/>
        <item x="53"/>
        <item x="140"/>
        <item x="186"/>
        <item x="156"/>
        <item x="51"/>
        <item x="146"/>
        <item x="88"/>
        <item x="187"/>
        <item x="65"/>
        <item x="307"/>
        <item x="168"/>
        <item x="45"/>
        <item x="96"/>
        <item x="0"/>
        <item x="105"/>
        <item x="181"/>
        <item x="266"/>
        <item x="162"/>
        <item x="118"/>
        <item x="210"/>
        <item x="234"/>
        <item x="91"/>
        <item x="289"/>
        <item x="79"/>
        <item x="283"/>
        <item x="122"/>
        <item x="228"/>
        <item x="273"/>
        <item x="149"/>
        <item x="29"/>
        <item x="107"/>
        <item x="49"/>
        <item x="157"/>
        <item x="185"/>
        <item x="98"/>
        <item x="39"/>
        <item x="216"/>
        <item x="215"/>
        <item x="229"/>
        <item x="152"/>
        <item x="28"/>
        <item x="129"/>
        <item x="169"/>
        <item x="5"/>
        <item x="151"/>
        <item x="257"/>
        <item x="35"/>
        <item x="75"/>
        <item x="114"/>
        <item x="302"/>
        <item x="46"/>
        <item x="277"/>
        <item x="207"/>
        <item x="155"/>
        <item x="279"/>
        <item x="177"/>
        <item x="206"/>
        <item x="73"/>
        <item x="3"/>
        <item x="201"/>
        <item x="202"/>
        <item x="47"/>
        <item x="308"/>
        <item x="171"/>
        <item x="159"/>
        <item x="183"/>
        <item x="275"/>
        <item x="304"/>
        <item x="278"/>
        <item x="126"/>
        <item x="48"/>
        <item x="81"/>
        <item x="21"/>
        <item x="208"/>
        <item x="236"/>
        <item x="268"/>
        <item x="43"/>
        <item x="132"/>
        <item x="214"/>
        <item x="141"/>
        <item x="74"/>
        <item x="138"/>
        <item x="87"/>
        <item x="209"/>
        <item x="254"/>
        <item x="72"/>
        <item x="180"/>
        <item x="191"/>
        <item x="38"/>
        <item x="274"/>
        <item x="253"/>
        <item x="1"/>
        <item x="143"/>
        <item x="130"/>
        <item x="58"/>
        <item x="97"/>
        <item x="290"/>
        <item x="160"/>
        <item x="4"/>
        <item x="166"/>
        <item x="286"/>
        <item x="230"/>
        <item x="123"/>
        <item x="116"/>
        <item x="57"/>
        <item x="127"/>
        <item x="16"/>
        <item x="238"/>
        <item x="219"/>
        <item x="200"/>
        <item x="111"/>
        <item x="83"/>
        <item x="134"/>
        <item x="101"/>
        <item x="292"/>
        <item x="297"/>
        <item x="7"/>
        <item x="243"/>
        <item x="282"/>
        <item x="18"/>
        <item x="199"/>
        <item x="137"/>
        <item x="227"/>
        <item x="309"/>
        <item x="117"/>
        <item x="84"/>
        <item x="221"/>
        <item x="165"/>
        <item x="178"/>
        <item x="86"/>
        <item x="115"/>
        <item x="295"/>
        <item x="204"/>
        <item x="197"/>
        <item x="9"/>
        <item x="71"/>
        <item t="default"/>
      </items>
    </pivotField>
    <pivotField showAll="0">
      <items count="7">
        <item h="1" x="3"/>
        <item h="1" x="4"/>
        <item x="0"/>
        <item h="1" x="5"/>
        <item h="1" x="1"/>
        <item h="1" x="2"/>
        <item t="default"/>
      </items>
    </pivotField>
    <pivotField showAll="0"/>
  </pivotFields>
  <rowFields count="1">
    <field x="2"/>
  </rowFields>
  <rowItems count="6">
    <i>
      <x/>
    </i>
    <i>
      <x v="1"/>
    </i>
    <i>
      <x v="2"/>
    </i>
    <i>
      <x v="3"/>
    </i>
    <i>
      <x v="4"/>
    </i>
    <i t="grand">
      <x/>
    </i>
  </rowItems>
  <colFields count="1">
    <field x="-2"/>
  </colFields>
  <colItems count="2">
    <i>
      <x/>
    </i>
    <i i="1">
      <x v="1"/>
    </i>
  </colItems>
  <dataFields count="2">
    <dataField name="Sum of Total Sales (INR)" fld="5" baseField="2" baseItem="0" numFmtId="1"/>
    <dataField name="Sum of Price (INR)" fld="3" baseField="0" baseItem="0" numFmtId="1"/>
  </dataFields>
  <formats count="7">
    <format dxfId="30">
      <pivotArea outline="0" fieldPosition="0">
        <references count="1">
          <reference field="4294967294" count="1">
            <x v="0"/>
          </reference>
        </references>
      </pivotArea>
    </format>
    <format dxfId="29">
      <pivotArea type="all" dataOnly="0" outline="0" fieldPosition="0"/>
    </format>
    <format dxfId="28">
      <pivotArea outline="0" collapsedLevelsAreSubtotals="1" fieldPosition="0"/>
    </format>
    <format dxfId="27">
      <pivotArea field="2" type="button" dataOnly="0" labelOnly="1" outline="0" axis="axisRow" fieldPosition="0"/>
    </format>
    <format dxfId="26">
      <pivotArea dataOnly="0" labelOnly="1" fieldPosition="0">
        <references count="1">
          <reference field="2" count="0"/>
        </references>
      </pivotArea>
    </format>
    <format dxfId="25">
      <pivotArea dataOnly="0" labelOnly="1" grandRow="1" outline="0" fieldPosition="0"/>
    </format>
    <format dxfId="24">
      <pivotArea dataOnly="0" labelOnly="1" outline="0" fieldPosition="0">
        <references count="1">
          <reference field="4294967294" count="2">
            <x v="0"/>
            <x v="1"/>
          </reference>
        </references>
      </pivotArea>
    </format>
  </formats>
  <chartFormats count="2">
    <chartFormat chart="7" format="6" series="1">
      <pivotArea type="data" outline="0" fieldPosition="0">
        <references count="1">
          <reference field="4294967294" count="1" selected="0">
            <x v="0"/>
          </reference>
        </references>
      </pivotArea>
    </chartFormat>
    <chartFormat chart="7" format="7"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2D47D3C-8F00-43EA-87D3-DF5A0561BDCF}"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tegory">
  <location ref="A22:H29" firstHeaderRow="1" firstDataRow="2" firstDataCol="1"/>
  <pivotFields count="12">
    <pivotField showAll="0"/>
    <pivotField showAll="0"/>
    <pivotField axis="axisRow" showAll="0">
      <items count="6">
        <item x="2"/>
        <item x="0"/>
        <item x="1"/>
        <item x="3"/>
        <item x="4"/>
        <item t="default"/>
      </items>
    </pivotField>
    <pivotField numFmtId="1" showAll="0"/>
    <pivotField showAll="0"/>
    <pivotField dataField="1" numFmtId="1" showAll="0"/>
    <pivotField numFmtId="14" showAll="0">
      <items count="311">
        <item x="36"/>
        <item x="66"/>
        <item x="40"/>
        <item x="244"/>
        <item x="148"/>
        <item x="218"/>
        <item x="124"/>
        <item x="194"/>
        <item x="259"/>
        <item x="11"/>
        <item x="182"/>
        <item x="60"/>
        <item x="223"/>
        <item x="305"/>
        <item x="276"/>
        <item x="189"/>
        <item x="119"/>
        <item x="139"/>
        <item x="142"/>
        <item x="213"/>
        <item x="231"/>
        <item x="248"/>
        <item x="247"/>
        <item x="261"/>
        <item x="8"/>
        <item x="233"/>
        <item x="306"/>
        <item x="265"/>
        <item x="20"/>
        <item x="232"/>
        <item x="103"/>
        <item x="15"/>
        <item x="125"/>
        <item x="63"/>
        <item x="68"/>
        <item x="192"/>
        <item x="154"/>
        <item x="179"/>
        <item x="13"/>
        <item x="263"/>
        <item x="80"/>
        <item x="198"/>
        <item x="220"/>
        <item x="50"/>
        <item x="158"/>
        <item x="164"/>
        <item x="217"/>
        <item x="61"/>
        <item x="262"/>
        <item x="131"/>
        <item x="77"/>
        <item x="10"/>
        <item x="27"/>
        <item x="252"/>
        <item x="25"/>
        <item x="239"/>
        <item x="249"/>
        <item x="112"/>
        <item x="104"/>
        <item x="14"/>
        <item x="264"/>
        <item x="280"/>
        <item x="303"/>
        <item x="269"/>
        <item x="203"/>
        <item x="62"/>
        <item x="294"/>
        <item x="285"/>
        <item x="31"/>
        <item x="108"/>
        <item x="226"/>
        <item x="93"/>
        <item x="260"/>
        <item x="59"/>
        <item x="293"/>
        <item x="147"/>
        <item x="92"/>
        <item x="120"/>
        <item x="241"/>
        <item x="284"/>
        <item x="145"/>
        <item x="174"/>
        <item x="52"/>
        <item x="288"/>
        <item x="2"/>
        <item x="190"/>
        <item x="167"/>
        <item x="188"/>
        <item x="82"/>
        <item x="267"/>
        <item x="99"/>
        <item x="235"/>
        <item x="102"/>
        <item x="237"/>
        <item x="195"/>
        <item x="76"/>
        <item x="85"/>
        <item x="113"/>
        <item x="12"/>
        <item x="133"/>
        <item x="246"/>
        <item x="224"/>
        <item x="37"/>
        <item x="161"/>
        <item x="256"/>
        <item x="32"/>
        <item x="240"/>
        <item x="54"/>
        <item x="300"/>
        <item x="176"/>
        <item x="175"/>
        <item x="110"/>
        <item x="170"/>
        <item x="291"/>
        <item x="271"/>
        <item x="211"/>
        <item x="42"/>
        <item x="19"/>
        <item x="94"/>
        <item x="281"/>
        <item x="33"/>
        <item x="78"/>
        <item x="69"/>
        <item x="205"/>
        <item x="242"/>
        <item x="6"/>
        <item x="64"/>
        <item x="296"/>
        <item x="89"/>
        <item x="212"/>
        <item x="17"/>
        <item x="56"/>
        <item x="150"/>
        <item x="270"/>
        <item x="196"/>
        <item x="90"/>
        <item x="30"/>
        <item x="70"/>
        <item x="245"/>
        <item x="100"/>
        <item x="163"/>
        <item x="298"/>
        <item x="24"/>
        <item x="135"/>
        <item x="22"/>
        <item x="272"/>
        <item x="41"/>
        <item x="251"/>
        <item x="55"/>
        <item x="136"/>
        <item x="34"/>
        <item x="144"/>
        <item x="95"/>
        <item x="26"/>
        <item x="128"/>
        <item x="287"/>
        <item x="301"/>
        <item x="193"/>
        <item x="109"/>
        <item x="44"/>
        <item x="172"/>
        <item x="250"/>
        <item x="225"/>
        <item x="184"/>
        <item x="173"/>
        <item x="255"/>
        <item x="258"/>
        <item x="121"/>
        <item x="153"/>
        <item x="23"/>
        <item x="67"/>
        <item x="106"/>
        <item x="222"/>
        <item x="299"/>
        <item x="53"/>
        <item x="140"/>
        <item x="186"/>
        <item x="156"/>
        <item x="51"/>
        <item x="146"/>
        <item x="88"/>
        <item x="187"/>
        <item x="65"/>
        <item x="307"/>
        <item x="168"/>
        <item x="45"/>
        <item x="96"/>
        <item x="0"/>
        <item x="105"/>
        <item x="181"/>
        <item x="266"/>
        <item x="162"/>
        <item x="118"/>
        <item x="210"/>
        <item x="234"/>
        <item x="91"/>
        <item x="289"/>
        <item x="79"/>
        <item x="283"/>
        <item x="122"/>
        <item x="228"/>
        <item x="273"/>
        <item x="149"/>
        <item x="29"/>
        <item x="107"/>
        <item x="49"/>
        <item x="157"/>
        <item x="185"/>
        <item x="98"/>
        <item x="39"/>
        <item x="216"/>
        <item x="215"/>
        <item x="229"/>
        <item x="152"/>
        <item x="28"/>
        <item x="129"/>
        <item x="169"/>
        <item x="5"/>
        <item x="151"/>
        <item x="257"/>
        <item x="35"/>
        <item x="75"/>
        <item x="114"/>
        <item x="302"/>
        <item x="46"/>
        <item x="277"/>
        <item x="207"/>
        <item x="155"/>
        <item x="279"/>
        <item x="177"/>
        <item x="206"/>
        <item x="73"/>
        <item x="3"/>
        <item x="201"/>
        <item x="202"/>
        <item x="47"/>
        <item x="308"/>
        <item x="171"/>
        <item x="159"/>
        <item x="183"/>
        <item x="275"/>
        <item x="304"/>
        <item x="278"/>
        <item x="126"/>
        <item x="48"/>
        <item x="81"/>
        <item x="21"/>
        <item x="208"/>
        <item x="236"/>
        <item x="268"/>
        <item x="43"/>
        <item x="132"/>
        <item x="214"/>
        <item x="141"/>
        <item x="74"/>
        <item x="138"/>
        <item x="87"/>
        <item x="209"/>
        <item x="254"/>
        <item x="72"/>
        <item x="180"/>
        <item x="191"/>
        <item x="38"/>
        <item x="274"/>
        <item x="253"/>
        <item x="1"/>
        <item x="143"/>
        <item x="130"/>
        <item x="58"/>
        <item x="97"/>
        <item x="290"/>
        <item x="160"/>
        <item x="4"/>
        <item x="166"/>
        <item x="286"/>
        <item x="230"/>
        <item x="123"/>
        <item x="116"/>
        <item x="57"/>
        <item x="127"/>
        <item x="16"/>
        <item x="238"/>
        <item x="219"/>
        <item x="200"/>
        <item x="111"/>
        <item x="83"/>
        <item x="134"/>
        <item x="101"/>
        <item x="292"/>
        <item x="297"/>
        <item x="7"/>
        <item x="243"/>
        <item x="282"/>
        <item x="18"/>
        <item x="199"/>
        <item x="137"/>
        <item x="227"/>
        <item x="309"/>
        <item x="117"/>
        <item x="84"/>
        <item x="221"/>
        <item x="165"/>
        <item x="178"/>
        <item x="86"/>
        <item x="115"/>
        <item x="295"/>
        <item x="204"/>
        <item x="197"/>
        <item x="9"/>
        <item x="71"/>
        <item t="default"/>
      </items>
    </pivotField>
    <pivotField axis="axisCol" showAll="0">
      <items count="7">
        <item x="3"/>
        <item x="4"/>
        <item x="0"/>
        <item x="5"/>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6">
    <i>
      <x/>
    </i>
    <i>
      <x v="1"/>
    </i>
    <i>
      <x v="2"/>
    </i>
    <i>
      <x v="3"/>
    </i>
    <i>
      <x v="4"/>
    </i>
    <i t="grand">
      <x/>
    </i>
  </rowItems>
  <colFields count="1">
    <field x="7"/>
  </colFields>
  <colItems count="7">
    <i>
      <x/>
    </i>
    <i>
      <x v="1"/>
    </i>
    <i>
      <x v="2"/>
    </i>
    <i>
      <x v="3"/>
    </i>
    <i>
      <x v="4"/>
    </i>
    <i>
      <x v="5"/>
    </i>
    <i t="grand">
      <x/>
    </i>
  </colItems>
  <dataFields count="1">
    <dataField name="Sum of Total Sales (INR)" fld="5" baseField="0" baseItem="0" numFmtId="1"/>
  </dataFields>
  <formats count="10">
    <format dxfId="40">
      <pivotArea type="all" dataOnly="0" outline="0" fieldPosition="0"/>
    </format>
    <format dxfId="39">
      <pivotArea outline="0" collapsedLevelsAreSubtotals="1" fieldPosition="0"/>
    </format>
    <format dxfId="38">
      <pivotArea type="origin" dataOnly="0" labelOnly="1" outline="0" fieldPosition="0"/>
    </format>
    <format dxfId="37">
      <pivotArea field="7" type="button" dataOnly="0" labelOnly="1" outline="0" axis="axisCol" fieldPosition="0"/>
    </format>
    <format dxfId="36">
      <pivotArea type="topRight" dataOnly="0" labelOnly="1" outline="0" fieldPosition="0"/>
    </format>
    <format dxfId="35">
      <pivotArea field="2" type="button" dataOnly="0" labelOnly="1" outline="0" axis="axisRow" fieldPosition="0"/>
    </format>
    <format dxfId="34">
      <pivotArea dataOnly="0" labelOnly="1" fieldPosition="0">
        <references count="1">
          <reference field="2" count="0"/>
        </references>
      </pivotArea>
    </format>
    <format dxfId="33">
      <pivotArea dataOnly="0" labelOnly="1" grandRow="1" outline="0" fieldPosition="0"/>
    </format>
    <format dxfId="32">
      <pivotArea dataOnly="0" labelOnly="1" fieldPosition="0">
        <references count="1">
          <reference field="7" count="0"/>
        </references>
      </pivotArea>
    </format>
    <format dxfId="31">
      <pivotArea dataOnly="0" labelOnly="1" grandCol="1" outline="0" fieldPosition="0"/>
    </format>
  </formats>
  <chartFormats count="7">
    <chartFormat chart="5" format="12" series="1">
      <pivotArea type="data" outline="0" fieldPosition="0">
        <references count="2">
          <reference field="4294967294" count="1" selected="0">
            <x v="0"/>
          </reference>
          <reference field="7" count="1" selected="0">
            <x v="0"/>
          </reference>
        </references>
      </pivotArea>
    </chartFormat>
    <chartFormat chart="5" format="13" series="1">
      <pivotArea type="data" outline="0" fieldPosition="0">
        <references count="2">
          <reference field="4294967294" count="1" selected="0">
            <x v="0"/>
          </reference>
          <reference field="7" count="1" selected="0">
            <x v="1"/>
          </reference>
        </references>
      </pivotArea>
    </chartFormat>
    <chartFormat chart="5" format="14" series="1">
      <pivotArea type="data" outline="0" fieldPosition="0">
        <references count="2">
          <reference field="4294967294" count="1" selected="0">
            <x v="0"/>
          </reference>
          <reference field="7" count="1" selected="0">
            <x v="2"/>
          </reference>
        </references>
      </pivotArea>
    </chartFormat>
    <chartFormat chart="5" format="15" series="1">
      <pivotArea type="data" outline="0" fieldPosition="0">
        <references count="2">
          <reference field="4294967294" count="1" selected="0">
            <x v="0"/>
          </reference>
          <reference field="7" count="1" selected="0">
            <x v="3"/>
          </reference>
        </references>
      </pivotArea>
    </chartFormat>
    <chartFormat chart="5" format="16" series="1">
      <pivotArea type="data" outline="0" fieldPosition="0">
        <references count="2">
          <reference field="4294967294" count="1" selected="0">
            <x v="0"/>
          </reference>
          <reference field="7" count="1" selected="0">
            <x v="4"/>
          </reference>
        </references>
      </pivotArea>
    </chartFormat>
    <chartFormat chart="5" format="17" series="1">
      <pivotArea type="data" outline="0" fieldPosition="0">
        <references count="2">
          <reference field="4294967294" count="1" selected="0">
            <x v="0"/>
          </reference>
          <reference field="7" count="1" selected="0">
            <x v="5"/>
          </reference>
        </references>
      </pivotArea>
    </chartFormat>
    <chartFormat chart="5"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645807-D3DE-4DA1-8130-AC7D6A357DA9}"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payment methods">
  <location ref="F9:G16" firstHeaderRow="1" firstDataRow="1" firstDataCol="1"/>
  <pivotFields count="12">
    <pivotField showAll="0"/>
    <pivotField showAll="0"/>
    <pivotField showAll="0">
      <items count="6">
        <item x="2"/>
        <item x="0"/>
        <item x="1"/>
        <item x="3"/>
        <item x="4"/>
        <item t="default"/>
      </items>
    </pivotField>
    <pivotField numFmtId="1" showAll="0"/>
    <pivotField showAll="0"/>
    <pivotField dataField="1" numFmtId="1" showAll="0"/>
    <pivotField numFmtId="14" showAll="0">
      <items count="311">
        <item x="36"/>
        <item x="66"/>
        <item x="40"/>
        <item x="244"/>
        <item x="148"/>
        <item x="218"/>
        <item x="124"/>
        <item x="194"/>
        <item x="259"/>
        <item x="11"/>
        <item x="182"/>
        <item x="60"/>
        <item x="223"/>
        <item x="305"/>
        <item x="276"/>
        <item x="189"/>
        <item x="119"/>
        <item x="139"/>
        <item x="142"/>
        <item x="213"/>
        <item x="231"/>
        <item x="248"/>
        <item x="247"/>
        <item x="261"/>
        <item x="8"/>
        <item x="233"/>
        <item x="306"/>
        <item x="265"/>
        <item x="20"/>
        <item x="232"/>
        <item x="103"/>
        <item x="15"/>
        <item x="125"/>
        <item x="63"/>
        <item x="68"/>
        <item x="192"/>
        <item x="154"/>
        <item x="179"/>
        <item x="13"/>
        <item x="263"/>
        <item x="80"/>
        <item x="198"/>
        <item x="220"/>
        <item x="50"/>
        <item x="158"/>
        <item x="164"/>
        <item x="217"/>
        <item x="61"/>
        <item x="262"/>
        <item x="131"/>
        <item x="77"/>
        <item x="10"/>
        <item x="27"/>
        <item x="252"/>
        <item x="25"/>
        <item x="239"/>
        <item x="249"/>
        <item x="112"/>
        <item x="104"/>
        <item x="14"/>
        <item x="264"/>
        <item x="280"/>
        <item x="303"/>
        <item x="269"/>
        <item x="203"/>
        <item x="62"/>
        <item x="294"/>
        <item x="285"/>
        <item x="31"/>
        <item x="108"/>
        <item x="226"/>
        <item x="93"/>
        <item x="260"/>
        <item x="59"/>
        <item x="293"/>
        <item x="147"/>
        <item x="92"/>
        <item x="120"/>
        <item x="241"/>
        <item x="284"/>
        <item x="145"/>
        <item x="174"/>
        <item x="52"/>
        <item x="288"/>
        <item x="2"/>
        <item x="190"/>
        <item x="167"/>
        <item x="188"/>
        <item x="82"/>
        <item x="267"/>
        <item x="99"/>
        <item x="235"/>
        <item x="102"/>
        <item x="237"/>
        <item x="195"/>
        <item x="76"/>
        <item x="85"/>
        <item x="113"/>
        <item x="12"/>
        <item x="133"/>
        <item x="246"/>
        <item x="224"/>
        <item x="37"/>
        <item x="161"/>
        <item x="256"/>
        <item x="32"/>
        <item x="240"/>
        <item x="54"/>
        <item x="300"/>
        <item x="176"/>
        <item x="175"/>
        <item x="110"/>
        <item x="170"/>
        <item x="291"/>
        <item x="271"/>
        <item x="211"/>
        <item x="42"/>
        <item x="19"/>
        <item x="94"/>
        <item x="281"/>
        <item x="33"/>
        <item x="78"/>
        <item x="69"/>
        <item x="205"/>
        <item x="242"/>
        <item x="6"/>
        <item x="64"/>
        <item x="296"/>
        <item x="89"/>
        <item x="212"/>
        <item x="17"/>
        <item x="56"/>
        <item x="150"/>
        <item x="270"/>
        <item x="196"/>
        <item x="90"/>
        <item x="30"/>
        <item x="70"/>
        <item x="245"/>
        <item x="100"/>
        <item x="163"/>
        <item x="298"/>
        <item x="24"/>
        <item x="135"/>
        <item x="22"/>
        <item x="272"/>
        <item x="41"/>
        <item x="251"/>
        <item x="55"/>
        <item x="136"/>
        <item x="34"/>
        <item x="144"/>
        <item x="95"/>
        <item x="26"/>
        <item x="128"/>
        <item x="287"/>
        <item x="301"/>
        <item x="193"/>
        <item x="109"/>
        <item x="44"/>
        <item x="172"/>
        <item x="250"/>
        <item x="225"/>
        <item x="184"/>
        <item x="173"/>
        <item x="255"/>
        <item x="258"/>
        <item x="121"/>
        <item x="153"/>
        <item x="23"/>
        <item x="67"/>
        <item x="106"/>
        <item x="222"/>
        <item x="299"/>
        <item x="53"/>
        <item x="140"/>
        <item x="186"/>
        <item x="156"/>
        <item x="51"/>
        <item x="146"/>
        <item x="88"/>
        <item x="187"/>
        <item x="65"/>
        <item x="307"/>
        <item x="168"/>
        <item x="45"/>
        <item x="96"/>
        <item x="0"/>
        <item x="105"/>
        <item x="181"/>
        <item x="266"/>
        <item x="162"/>
        <item x="118"/>
        <item x="210"/>
        <item x="234"/>
        <item x="91"/>
        <item x="289"/>
        <item x="79"/>
        <item x="283"/>
        <item x="122"/>
        <item x="228"/>
        <item x="273"/>
        <item x="149"/>
        <item x="29"/>
        <item x="107"/>
        <item x="49"/>
        <item x="157"/>
        <item x="185"/>
        <item x="98"/>
        <item x="39"/>
        <item x="216"/>
        <item x="215"/>
        <item x="229"/>
        <item x="152"/>
        <item x="28"/>
        <item x="129"/>
        <item x="169"/>
        <item x="5"/>
        <item x="151"/>
        <item x="257"/>
        <item x="35"/>
        <item x="75"/>
        <item x="114"/>
        <item x="302"/>
        <item x="46"/>
        <item x="277"/>
        <item x="207"/>
        <item x="155"/>
        <item x="279"/>
        <item x="177"/>
        <item x="206"/>
        <item x="73"/>
        <item x="3"/>
        <item x="201"/>
        <item x="202"/>
        <item x="47"/>
        <item x="308"/>
        <item x="171"/>
        <item x="159"/>
        <item x="183"/>
        <item x="275"/>
        <item x="304"/>
        <item x="278"/>
        <item x="126"/>
        <item x="48"/>
        <item x="81"/>
        <item x="21"/>
        <item x="208"/>
        <item x="236"/>
        <item x="268"/>
        <item x="43"/>
        <item x="132"/>
        <item x="214"/>
        <item x="141"/>
        <item x="74"/>
        <item x="138"/>
        <item x="87"/>
        <item x="209"/>
        <item x="254"/>
        <item x="72"/>
        <item x="180"/>
        <item x="191"/>
        <item x="38"/>
        <item x="274"/>
        <item x="253"/>
        <item x="1"/>
        <item x="143"/>
        <item x="130"/>
        <item x="58"/>
        <item x="97"/>
        <item x="290"/>
        <item x="160"/>
        <item x="4"/>
        <item x="166"/>
        <item x="286"/>
        <item x="230"/>
        <item x="123"/>
        <item x="116"/>
        <item x="57"/>
        <item x="127"/>
        <item x="16"/>
        <item x="238"/>
        <item x="219"/>
        <item x="200"/>
        <item x="111"/>
        <item x="83"/>
        <item x="134"/>
        <item x="101"/>
        <item x="292"/>
        <item x="297"/>
        <item x="7"/>
        <item x="243"/>
        <item x="282"/>
        <item x="18"/>
        <item x="199"/>
        <item x="137"/>
        <item x="227"/>
        <item x="309"/>
        <item x="117"/>
        <item x="84"/>
        <item x="221"/>
        <item x="165"/>
        <item x="178"/>
        <item x="86"/>
        <item x="115"/>
        <item x="295"/>
        <item x="204"/>
        <item x="197"/>
        <item x="9"/>
        <item x="71"/>
        <item t="default"/>
      </items>
    </pivotField>
    <pivotField axis="axisRow" showAll="0">
      <items count="7">
        <item x="3"/>
        <item x="4"/>
        <item x="0"/>
        <item x="5"/>
        <item x="1"/>
        <item x="2"/>
        <item t="default"/>
      </items>
    </pivotField>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7">
    <i>
      <x/>
    </i>
    <i>
      <x v="1"/>
    </i>
    <i>
      <x v="2"/>
    </i>
    <i>
      <x v="3"/>
    </i>
    <i>
      <x v="4"/>
    </i>
    <i>
      <x v="5"/>
    </i>
    <i t="grand">
      <x/>
    </i>
  </rowItems>
  <colItems count="1">
    <i/>
  </colItems>
  <dataFields count="1">
    <dataField name="Sum of Total Sales (INR)" fld="5" showDataAs="percentOfTotal" baseField="7" baseItem="0" numFmtId="10"/>
  </dataFields>
  <formats count="6">
    <format dxfId="46">
      <pivotArea type="all" dataOnly="0" outline="0" fieldPosition="0"/>
    </format>
    <format dxfId="45">
      <pivotArea outline="0" collapsedLevelsAreSubtotals="1" fieldPosition="0"/>
    </format>
    <format dxfId="44">
      <pivotArea field="7" type="button" dataOnly="0" labelOnly="1" outline="0" axis="axisRow" fieldPosition="0"/>
    </format>
    <format dxfId="43">
      <pivotArea dataOnly="0" labelOnly="1" fieldPosition="0">
        <references count="1">
          <reference field="7" count="0"/>
        </references>
      </pivotArea>
    </format>
    <format dxfId="42">
      <pivotArea dataOnly="0" labelOnly="1" grandRow="1" outline="0" fieldPosition="0"/>
    </format>
    <format dxfId="4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2F47CF-A502-4298-8CC8-4FBB05BFB6AB}"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Category">
  <location ref="E35:H43" firstHeaderRow="1" firstDataRow="3" firstDataCol="1"/>
  <pivotFields count="12">
    <pivotField showAll="0"/>
    <pivotField showAll="0"/>
    <pivotField axis="axisRow" showAll="0">
      <items count="6">
        <item x="2"/>
        <item x="0"/>
        <item x="1"/>
        <item x="3"/>
        <item x="4"/>
        <item t="default"/>
      </items>
    </pivotField>
    <pivotField numFmtId="1" showAll="0"/>
    <pivotField dataField="1" showAll="0"/>
    <pivotField numFmtId="1" showAll="0"/>
    <pivotField numFmtId="14" showAll="0">
      <items count="311">
        <item x="36"/>
        <item x="66"/>
        <item x="40"/>
        <item x="244"/>
        <item x="148"/>
        <item x="218"/>
        <item x="124"/>
        <item x="194"/>
        <item x="259"/>
        <item x="11"/>
        <item x="182"/>
        <item x="60"/>
        <item x="223"/>
        <item x="305"/>
        <item x="276"/>
        <item x="189"/>
        <item x="119"/>
        <item x="139"/>
        <item x="142"/>
        <item x="213"/>
        <item x="231"/>
        <item x="248"/>
        <item x="247"/>
        <item x="261"/>
        <item x="8"/>
        <item x="233"/>
        <item x="306"/>
        <item x="265"/>
        <item x="20"/>
        <item x="232"/>
        <item x="103"/>
        <item x="15"/>
        <item x="125"/>
        <item x="63"/>
        <item x="68"/>
        <item x="192"/>
        <item x="154"/>
        <item x="179"/>
        <item x="13"/>
        <item x="263"/>
        <item x="80"/>
        <item x="198"/>
        <item x="220"/>
        <item x="50"/>
        <item x="158"/>
        <item x="164"/>
        <item x="217"/>
        <item x="61"/>
        <item x="262"/>
        <item x="131"/>
        <item x="77"/>
        <item x="10"/>
        <item x="27"/>
        <item x="252"/>
        <item x="25"/>
        <item x="239"/>
        <item x="249"/>
        <item x="112"/>
        <item x="104"/>
        <item x="14"/>
        <item x="264"/>
        <item x="280"/>
        <item x="303"/>
        <item x="269"/>
        <item x="203"/>
        <item x="62"/>
        <item x="294"/>
        <item x="285"/>
        <item x="31"/>
        <item x="108"/>
        <item x="226"/>
        <item x="93"/>
        <item x="260"/>
        <item x="59"/>
        <item x="293"/>
        <item x="147"/>
        <item x="92"/>
        <item x="120"/>
        <item x="241"/>
        <item x="284"/>
        <item x="145"/>
        <item x="174"/>
        <item x="52"/>
        <item x="288"/>
        <item x="2"/>
        <item x="190"/>
        <item x="167"/>
        <item x="188"/>
        <item x="82"/>
        <item x="267"/>
        <item x="99"/>
        <item x="235"/>
        <item x="102"/>
        <item x="237"/>
        <item x="195"/>
        <item x="76"/>
        <item x="85"/>
        <item x="113"/>
        <item x="12"/>
        <item x="133"/>
        <item x="246"/>
        <item x="224"/>
        <item x="37"/>
        <item x="161"/>
        <item x="256"/>
        <item x="32"/>
        <item x="240"/>
        <item x="54"/>
        <item x="300"/>
        <item x="176"/>
        <item x="175"/>
        <item x="110"/>
        <item x="170"/>
        <item x="291"/>
        <item x="271"/>
        <item x="211"/>
        <item x="42"/>
        <item x="19"/>
        <item x="94"/>
        <item x="281"/>
        <item x="33"/>
        <item x="78"/>
        <item x="69"/>
        <item x="205"/>
        <item x="242"/>
        <item x="6"/>
        <item x="64"/>
        <item x="296"/>
        <item x="89"/>
        <item x="212"/>
        <item x="17"/>
        <item x="56"/>
        <item x="150"/>
        <item x="270"/>
        <item x="196"/>
        <item x="90"/>
        <item x="30"/>
        <item x="70"/>
        <item x="245"/>
        <item x="100"/>
        <item x="163"/>
        <item x="298"/>
        <item x="24"/>
        <item x="135"/>
        <item x="22"/>
        <item x="272"/>
        <item x="41"/>
        <item x="251"/>
        <item x="55"/>
        <item x="136"/>
        <item x="34"/>
        <item x="144"/>
        <item x="95"/>
        <item x="26"/>
        <item x="128"/>
        <item x="287"/>
        <item x="301"/>
        <item x="193"/>
        <item x="109"/>
        <item x="44"/>
        <item x="172"/>
        <item x="250"/>
        <item x="225"/>
        <item x="184"/>
        <item x="173"/>
        <item x="255"/>
        <item x="258"/>
        <item x="121"/>
        <item x="153"/>
        <item x="23"/>
        <item x="67"/>
        <item x="106"/>
        <item x="222"/>
        <item x="299"/>
        <item x="53"/>
        <item x="140"/>
        <item x="186"/>
        <item x="156"/>
        <item x="51"/>
        <item x="146"/>
        <item x="88"/>
        <item x="187"/>
        <item x="65"/>
        <item x="307"/>
        <item x="168"/>
        <item x="45"/>
        <item x="96"/>
        <item x="0"/>
        <item x="105"/>
        <item x="181"/>
        <item x="266"/>
        <item x="162"/>
        <item x="118"/>
        <item x="210"/>
        <item x="234"/>
        <item x="91"/>
        <item x="289"/>
        <item x="79"/>
        <item x="283"/>
        <item x="122"/>
        <item x="228"/>
        <item x="273"/>
        <item x="149"/>
        <item x="29"/>
        <item x="107"/>
        <item x="49"/>
        <item x="157"/>
        <item x="185"/>
        <item x="98"/>
        <item x="39"/>
        <item x="216"/>
        <item x="215"/>
        <item x="229"/>
        <item x="152"/>
        <item x="28"/>
        <item x="129"/>
        <item x="169"/>
        <item x="5"/>
        <item x="151"/>
        <item x="257"/>
        <item x="35"/>
        <item x="75"/>
        <item x="114"/>
        <item x="302"/>
        <item x="46"/>
        <item x="277"/>
        <item x="207"/>
        <item x="155"/>
        <item x="279"/>
        <item x="177"/>
        <item x="206"/>
        <item x="73"/>
        <item x="3"/>
        <item x="201"/>
        <item x="202"/>
        <item x="47"/>
        <item x="308"/>
        <item x="171"/>
        <item x="159"/>
        <item x="183"/>
        <item x="275"/>
        <item x="304"/>
        <item x="278"/>
        <item x="126"/>
        <item x="48"/>
        <item x="81"/>
        <item x="21"/>
        <item x="208"/>
        <item x="236"/>
        <item x="268"/>
        <item x="43"/>
        <item x="132"/>
        <item x="214"/>
        <item x="141"/>
        <item x="74"/>
        <item x="138"/>
        <item x="87"/>
        <item x="209"/>
        <item x="254"/>
        <item x="72"/>
        <item x="180"/>
        <item x="191"/>
        <item x="38"/>
        <item x="274"/>
        <item x="253"/>
        <item x="1"/>
        <item x="143"/>
        <item x="130"/>
        <item x="58"/>
        <item x="97"/>
        <item x="290"/>
        <item x="160"/>
        <item x="4"/>
        <item x="166"/>
        <item x="286"/>
        <item x="230"/>
        <item x="123"/>
        <item x="116"/>
        <item x="57"/>
        <item x="127"/>
        <item x="16"/>
        <item x="238"/>
        <item x="219"/>
        <item x="200"/>
        <item x="111"/>
        <item x="83"/>
        <item x="134"/>
        <item x="101"/>
        <item x="292"/>
        <item x="297"/>
        <item x="7"/>
        <item x="243"/>
        <item x="282"/>
        <item x="18"/>
        <item x="199"/>
        <item x="137"/>
        <item x="227"/>
        <item x="309"/>
        <item x="117"/>
        <item x="84"/>
        <item x="221"/>
        <item x="165"/>
        <item x="178"/>
        <item x="86"/>
        <item x="115"/>
        <item x="295"/>
        <item x="204"/>
        <item x="197"/>
        <item x="9"/>
        <item x="71"/>
        <item t="default"/>
      </items>
    </pivotField>
    <pivotField showAll="0">
      <items count="7">
        <item x="3"/>
        <item x="4"/>
        <item x="0"/>
        <item x="5"/>
        <item x="1"/>
        <item x="2"/>
        <item t="default"/>
      </items>
    </pivotField>
    <pivotField showAll="0"/>
    <pivotField axis="axisCol"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5">
        <item sd="0" x="0"/>
        <item sd="0" x="1"/>
        <item sd="0" x="2"/>
        <item sd="0" x="3"/>
        <item t="default"/>
      </items>
    </pivotField>
  </pivotFields>
  <rowFields count="1">
    <field x="2"/>
  </rowFields>
  <rowItems count="6">
    <i>
      <x/>
    </i>
    <i>
      <x v="1"/>
    </i>
    <i>
      <x v="2"/>
    </i>
    <i>
      <x v="3"/>
    </i>
    <i>
      <x v="4"/>
    </i>
    <i t="grand">
      <x/>
    </i>
  </rowItems>
  <colFields count="2">
    <field x="11"/>
    <field x="9"/>
  </colFields>
  <colItems count="3">
    <i>
      <x v="1"/>
    </i>
    <i>
      <x v="2"/>
    </i>
    <i t="grand">
      <x/>
    </i>
  </colItems>
  <dataFields count="1">
    <dataField name="Sum of Quantity Sold" fld="4" baseField="0" baseItem="0"/>
  </dataFields>
  <formats count="11">
    <format dxfId="57">
      <pivotArea type="all" dataOnly="0" outline="0" fieldPosition="0"/>
    </format>
    <format dxfId="56">
      <pivotArea outline="0" collapsedLevelsAreSubtotals="1" fieldPosition="0"/>
    </format>
    <format dxfId="55">
      <pivotArea type="origin" dataOnly="0" labelOnly="1" outline="0" fieldPosition="0"/>
    </format>
    <format dxfId="54">
      <pivotArea field="11" type="button" dataOnly="0" labelOnly="1" outline="0" axis="axisCol" fieldPosition="0"/>
    </format>
    <format dxfId="53">
      <pivotArea field="9" type="button" dataOnly="0" labelOnly="1" outline="0" axis="axisCol" fieldPosition="1"/>
    </format>
    <format dxfId="52">
      <pivotArea type="topRight" dataOnly="0" labelOnly="1" outline="0" fieldPosition="0"/>
    </format>
    <format dxfId="51">
      <pivotArea field="2" type="button" dataOnly="0" labelOnly="1" outline="0" axis="axisRow" fieldPosition="0"/>
    </format>
    <format dxfId="50">
      <pivotArea dataOnly="0" labelOnly="1" fieldPosition="0">
        <references count="1">
          <reference field="2" count="0"/>
        </references>
      </pivotArea>
    </format>
    <format dxfId="49">
      <pivotArea dataOnly="0" labelOnly="1" grandRow="1" outline="0" fieldPosition="0"/>
    </format>
    <format dxfId="48">
      <pivotArea dataOnly="0" labelOnly="1" fieldPosition="0">
        <references count="1">
          <reference field="11" count="2">
            <x v="1"/>
            <x v="2"/>
          </reference>
        </references>
      </pivotArea>
    </format>
    <format dxfId="47">
      <pivotArea dataOnly="0" labelOnly="1" grandCol="1" outline="0" fieldPosition="0"/>
    </format>
  </formats>
  <chartFormats count="3">
    <chartFormat chart="3" format="27" series="1">
      <pivotArea type="data" outline="0" fieldPosition="0">
        <references count="2">
          <reference field="4294967294" count="1" selected="0">
            <x v="0"/>
          </reference>
          <reference field="11" count="1" selected="0">
            <x v="1"/>
          </reference>
        </references>
      </pivotArea>
    </chartFormat>
    <chartFormat chart="3" format="28" series="1">
      <pivotArea type="data" outline="0" fieldPosition="0">
        <references count="2">
          <reference field="4294967294" count="1" selected="0">
            <x v="0"/>
          </reference>
          <reference field="11" count="1" selected="0">
            <x v="2"/>
          </reference>
        </references>
      </pivotArea>
    </chartFormat>
    <chartFormat chart="3" format="2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7DA630B-DC87-4883-BCC9-EAD9ADEE82C1}"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oducts">
  <location ref="A69:B95" firstHeaderRow="1" firstDataRow="1" firstDataCol="1"/>
  <pivotFields count="12">
    <pivotField showAll="0"/>
    <pivotField axis="axisRow" showAll="0">
      <items count="26">
        <item x="16"/>
        <item x="13"/>
        <item x="14"/>
        <item x="4"/>
        <item x="24"/>
        <item x="0"/>
        <item x="2"/>
        <item x="21"/>
        <item x="17"/>
        <item x="20"/>
        <item x="8"/>
        <item x="1"/>
        <item x="18"/>
        <item x="11"/>
        <item x="5"/>
        <item x="10"/>
        <item x="22"/>
        <item x="19"/>
        <item x="12"/>
        <item x="3"/>
        <item x="6"/>
        <item x="23"/>
        <item x="7"/>
        <item x="9"/>
        <item x="15"/>
        <item t="default"/>
      </items>
    </pivotField>
    <pivotField showAll="0">
      <items count="6">
        <item x="2"/>
        <item x="0"/>
        <item x="1"/>
        <item x="3"/>
        <item x="4"/>
        <item t="default"/>
      </items>
    </pivotField>
    <pivotField numFmtId="1" showAll="0"/>
    <pivotField showAll="0"/>
    <pivotField numFmtId="1" showAll="0"/>
    <pivotField numFmtId="14" showAll="0">
      <items count="311">
        <item x="36"/>
        <item x="66"/>
        <item x="40"/>
        <item x="244"/>
        <item x="148"/>
        <item x="218"/>
        <item x="124"/>
        <item x="194"/>
        <item x="259"/>
        <item x="11"/>
        <item x="182"/>
        <item x="60"/>
        <item x="223"/>
        <item x="305"/>
        <item x="276"/>
        <item x="189"/>
        <item x="119"/>
        <item x="139"/>
        <item x="142"/>
        <item x="213"/>
        <item x="231"/>
        <item x="248"/>
        <item x="247"/>
        <item x="261"/>
        <item x="8"/>
        <item x="233"/>
        <item x="306"/>
        <item x="265"/>
        <item x="20"/>
        <item x="232"/>
        <item x="103"/>
        <item x="15"/>
        <item x="125"/>
        <item x="63"/>
        <item x="68"/>
        <item x="192"/>
        <item x="154"/>
        <item x="179"/>
        <item x="13"/>
        <item x="263"/>
        <item x="80"/>
        <item x="198"/>
        <item x="220"/>
        <item x="50"/>
        <item x="158"/>
        <item x="164"/>
        <item x="217"/>
        <item x="61"/>
        <item x="262"/>
        <item x="131"/>
        <item x="77"/>
        <item x="10"/>
        <item x="27"/>
        <item x="252"/>
        <item x="25"/>
        <item x="239"/>
        <item x="249"/>
        <item x="112"/>
        <item x="104"/>
        <item x="14"/>
        <item x="264"/>
        <item x="280"/>
        <item x="303"/>
        <item x="269"/>
        <item x="203"/>
        <item x="62"/>
        <item x="294"/>
        <item x="285"/>
        <item x="31"/>
        <item x="108"/>
        <item x="226"/>
        <item x="93"/>
        <item x="260"/>
        <item x="59"/>
        <item x="293"/>
        <item x="147"/>
        <item x="92"/>
        <item x="120"/>
        <item x="241"/>
        <item x="284"/>
        <item x="145"/>
        <item x="174"/>
        <item x="52"/>
        <item x="288"/>
        <item x="2"/>
        <item x="190"/>
        <item x="167"/>
        <item x="188"/>
        <item x="82"/>
        <item x="267"/>
        <item x="99"/>
        <item x="235"/>
        <item x="102"/>
        <item x="237"/>
        <item x="195"/>
        <item x="76"/>
        <item x="85"/>
        <item x="113"/>
        <item x="12"/>
        <item x="133"/>
        <item x="246"/>
        <item x="224"/>
        <item x="37"/>
        <item x="161"/>
        <item x="256"/>
        <item x="32"/>
        <item x="240"/>
        <item x="54"/>
        <item x="300"/>
        <item x="176"/>
        <item x="175"/>
        <item x="110"/>
        <item x="170"/>
        <item x="291"/>
        <item x="271"/>
        <item x="211"/>
        <item x="42"/>
        <item x="19"/>
        <item x="94"/>
        <item x="281"/>
        <item x="33"/>
        <item x="78"/>
        <item x="69"/>
        <item x="205"/>
        <item x="242"/>
        <item x="6"/>
        <item x="64"/>
        <item x="296"/>
        <item x="89"/>
        <item x="212"/>
        <item x="17"/>
        <item x="56"/>
        <item x="150"/>
        <item x="270"/>
        <item x="196"/>
        <item x="90"/>
        <item x="30"/>
        <item x="70"/>
        <item x="245"/>
        <item x="100"/>
        <item x="163"/>
        <item x="298"/>
        <item x="24"/>
        <item x="135"/>
        <item x="22"/>
        <item x="272"/>
        <item x="41"/>
        <item x="251"/>
        <item x="55"/>
        <item x="136"/>
        <item x="34"/>
        <item x="144"/>
        <item x="95"/>
        <item x="26"/>
        <item x="128"/>
        <item x="287"/>
        <item x="301"/>
        <item x="193"/>
        <item x="109"/>
        <item x="44"/>
        <item x="172"/>
        <item x="250"/>
        <item x="225"/>
        <item x="184"/>
        <item x="173"/>
        <item x="255"/>
        <item x="258"/>
        <item x="121"/>
        <item x="153"/>
        <item x="23"/>
        <item x="67"/>
        <item x="106"/>
        <item x="222"/>
        <item x="299"/>
        <item x="53"/>
        <item x="140"/>
        <item x="186"/>
        <item x="156"/>
        <item x="51"/>
        <item x="146"/>
        <item x="88"/>
        <item x="187"/>
        <item x="65"/>
        <item x="307"/>
        <item x="168"/>
        <item x="45"/>
        <item x="96"/>
        <item x="0"/>
        <item x="105"/>
        <item x="181"/>
        <item x="266"/>
        <item x="162"/>
        <item x="118"/>
        <item x="210"/>
        <item x="234"/>
        <item x="91"/>
        <item x="289"/>
        <item x="79"/>
        <item x="283"/>
        <item x="122"/>
        <item x="228"/>
        <item x="273"/>
        <item x="149"/>
        <item x="29"/>
        <item x="107"/>
        <item x="49"/>
        <item x="157"/>
        <item x="185"/>
        <item x="98"/>
        <item x="39"/>
        <item x="216"/>
        <item x="215"/>
        <item x="229"/>
        <item x="152"/>
        <item x="28"/>
        <item x="129"/>
        <item x="169"/>
        <item x="5"/>
        <item x="151"/>
        <item x="257"/>
        <item x="35"/>
        <item x="75"/>
        <item x="114"/>
        <item x="302"/>
        <item x="46"/>
        <item x="277"/>
        <item x="207"/>
        <item x="155"/>
        <item x="279"/>
        <item x="177"/>
        <item x="206"/>
        <item x="73"/>
        <item x="3"/>
        <item x="201"/>
        <item x="202"/>
        <item x="47"/>
        <item x="308"/>
        <item x="171"/>
        <item x="159"/>
        <item x="183"/>
        <item x="275"/>
        <item x="304"/>
        <item x="278"/>
        <item x="126"/>
        <item x="48"/>
        <item x="81"/>
        <item x="21"/>
        <item x="208"/>
        <item x="236"/>
        <item x="268"/>
        <item x="43"/>
        <item x="132"/>
        <item x="214"/>
        <item x="141"/>
        <item x="74"/>
        <item x="138"/>
        <item x="87"/>
        <item x="209"/>
        <item x="254"/>
        <item x="72"/>
        <item x="180"/>
        <item x="191"/>
        <item x="38"/>
        <item x="274"/>
        <item x="253"/>
        <item x="1"/>
        <item x="143"/>
        <item x="130"/>
        <item x="58"/>
        <item x="97"/>
        <item x="290"/>
        <item x="160"/>
        <item x="4"/>
        <item x="166"/>
        <item x="286"/>
        <item x="230"/>
        <item x="123"/>
        <item x="116"/>
        <item x="57"/>
        <item x="127"/>
        <item x="16"/>
        <item x="238"/>
        <item x="219"/>
        <item x="200"/>
        <item x="111"/>
        <item x="83"/>
        <item x="134"/>
        <item x="101"/>
        <item x="292"/>
        <item x="297"/>
        <item x="7"/>
        <item x="243"/>
        <item x="282"/>
        <item x="18"/>
        <item x="199"/>
        <item x="137"/>
        <item x="227"/>
        <item x="309"/>
        <item x="117"/>
        <item x="84"/>
        <item x="221"/>
        <item x="165"/>
        <item x="178"/>
        <item x="86"/>
        <item x="115"/>
        <item x="295"/>
        <item x="204"/>
        <item x="197"/>
        <item x="9"/>
        <item x="71"/>
        <item t="default"/>
      </items>
    </pivotField>
    <pivotField showAll="0">
      <items count="7">
        <item x="3"/>
        <item x="4"/>
        <item x="0"/>
        <item x="5"/>
        <item x="1"/>
        <item x="2"/>
        <item t="default"/>
      </items>
    </pivotField>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1"/>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Items count="1">
    <i/>
  </colItems>
  <dataFields count="1">
    <dataField name="Average of Customer Rating" fld="8" subtotal="average" baseField="1" baseItem="9" numFmtId="2"/>
  </dataFields>
  <formats count="1">
    <format dxfId="58">
      <pivotArea outline="0" collapsedLevelsAreSubtotals="1" fieldPosition="0"/>
    </format>
  </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75D74CF-0B56-4B26-81A0-8CD69819B79D}" autoFormatId="16" applyNumberFormats="0" applyBorderFormats="0" applyFontFormats="0" applyPatternFormats="0" applyAlignmentFormats="0" applyWidthHeightFormats="0">
  <queryTableRefresh nextId="10">
    <queryTableFields count="9">
      <queryTableField id="1" name="Order ID" tableColumnId="1"/>
      <queryTableField id="2" name="Product Name" tableColumnId="2"/>
      <queryTableField id="3" name="Category" tableColumnId="3"/>
      <queryTableField id="4" name="Price (INR)" tableColumnId="4"/>
      <queryTableField id="5" name="Quantity Sold" tableColumnId="5"/>
      <queryTableField id="6" name="Total Sales (INR)" tableColumnId="6"/>
      <queryTableField id="7" name="Order Date" tableColumnId="7"/>
      <queryTableField id="8" name="Payment Method" tableColumnId="8"/>
      <queryTableField id="9" name="Customer Rating"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2" xr10:uid="{EE6BE3E3-783B-4293-AACB-6B19735EDE83}" sourceName="Payment Method">
  <pivotTables>
    <pivotTable tabId="1" name="PivotTable10"/>
    <pivotTable tabId="1" name="PivotTable2"/>
    <pivotTable tabId="1" name="PivotTable3"/>
    <pivotTable tabId="1" name="PivotTable4"/>
    <pivotTable tabId="1" name="PivotTable5"/>
    <pivotTable tabId="1" name="PivotTable6"/>
    <pivotTable tabId="1" name="PivotTable9"/>
  </pivotTables>
  <data>
    <tabular pivotCacheId="23198287">
      <items count="6">
        <i x="3" s="1"/>
        <i x="4" s="1"/>
        <i x="0" s="1"/>
        <i x="5"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2" xr10:uid="{66E711BD-EA76-42BA-B506-0B63B499ECE7}" sourceName="Category">
  <pivotTables>
    <pivotTable tabId="1" name="PivotTable4"/>
    <pivotTable tabId="1" name="PivotTable10"/>
    <pivotTable tabId="1" name="PivotTable2"/>
    <pivotTable tabId="1" name="PivotTable3"/>
    <pivotTable tabId="1" name="PivotTable5"/>
    <pivotTable tabId="1" name="PivotTable6"/>
    <pivotTable tabId="1" name="PivotTable9"/>
  </pivotTables>
  <data>
    <tabular pivotCacheId="23198287">
      <items count="5">
        <i x="2" s="1"/>
        <i x="0"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AE0FDCB6-84BA-4575-A052-00E91E5F893D}" sourceName="Product Name">
  <pivotTables>
    <pivotTable tabId="1" name="PivotTable1"/>
  </pivotTables>
  <data>
    <tabular pivotCacheId="2081837165">
      <items count="25">
        <i x="16" s="1"/>
        <i x="13" s="1"/>
        <i x="14" s="1"/>
        <i x="4" s="1"/>
        <i x="24" s="1"/>
        <i x="0" s="1"/>
        <i x="2" s="1"/>
        <i x="21" s="1"/>
        <i x="17" s="1"/>
        <i x="20" s="1"/>
        <i x="8" s="1"/>
        <i x="1" s="1"/>
        <i x="18" s="1"/>
        <i x="11" s="1"/>
        <i x="5" s="1"/>
        <i x="10" s="1"/>
        <i x="22" s="1"/>
        <i x="19" s="1"/>
        <i x="12" s="1"/>
        <i x="3" s="1"/>
        <i x="6" s="1"/>
        <i x="23" s="1"/>
        <i x="7" s="1"/>
        <i x="9" s="1"/>
        <i x="1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B5C1AD32-A3A6-4551-8CD2-F7B212AFA4D3}" sourceName="Months (Order Date)">
  <pivotTables>
    <pivotTable tabId="1" name="PivotTable9"/>
    <pivotTable tabId="1" name="PivotTable10"/>
    <pivotTable tabId="1" name="PivotTable2"/>
    <pivotTable tabId="1" name="PivotTable3"/>
    <pivotTable tabId="1" name="PivotTable4"/>
    <pivotTable tabId="1" name="PivotTable5"/>
  </pivotTables>
  <data>
    <tabular pivotCacheId="23198287">
      <items count="14">
        <i x="1" s="1"/>
        <i x="2" s="1"/>
        <i x="3" s="1"/>
        <i x="4" s="1"/>
        <i x="5" s="1"/>
        <i x="6" s="1"/>
        <i x="7" s="1"/>
        <i x="8" s="1"/>
        <i x="9" s="1"/>
        <i x="10" s="1"/>
        <i x="11" s="1"/>
        <i x="12" s="1"/>
        <i x="0" s="1" nd="1"/>
        <i x="13"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ACDECAA7-4FC0-4F91-86F6-5A6C377365AF}" sourceName="Years (Order Date)">
  <pivotTables>
    <pivotTable tabId="1" name="PivotTable2"/>
    <pivotTable tabId="1" name="PivotTable10"/>
    <pivotTable tabId="1" name="PivotTable3"/>
    <pivotTable tabId="1" name="PivotTable4"/>
    <pivotTable tabId="1" name="PivotTable5"/>
    <pivotTable tabId="1" name="PivotTable6"/>
    <pivotTable tabId="1" name="PivotTable9"/>
  </pivotTables>
  <data>
    <tabular pivotCacheId="23198287">
      <items count="4">
        <i x="1" s="1"/>
        <i x="2" s="1"/>
        <i x="0" s="1" nd="1"/>
        <i x="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xr10:uid="{62C79411-0E93-4096-89B3-AB9419AF5EF9}" cache="Slicer_Payment_Method2" caption="Payment Method" rowHeight="234950"/>
  <slicer name="Category 1" xr10:uid="{378249DD-C2D2-41AB-A6B3-9E389CD5A031}" cache="Slicer_Category2" caption="Category" rowHeight="234950"/>
  <slicer name="Product Name 1" xr10:uid="{3BFDE332-9EEE-453B-BDB7-9ED39683168B}" cache="Slicer_Product_Name" caption="Product Name" startItem="1" rowHeight="234950"/>
  <slicer name="Months (Order Date)" xr10:uid="{B6EC663A-CF93-4386-9CC6-5DBB0AC04A17}" cache="Slicer_Months__Order_Date" caption="Months (Order Date)" rowHeight="234950"/>
  <slicer name="Years (Order Date)" xr10:uid="{A446E797-CDB5-4350-91D7-64D4AAE9685E}" cache="Slicer_Years__Order_Date" caption="Years (Order Dat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2A81BA-A134-410F-A484-5EE800D58055}" name="flipkart_sales" displayName="flipkart_sales" ref="A1:I700" tableType="queryTable" totalsRowShown="0" dataDxfId="68">
  <autoFilter ref="A1:I700" xr:uid="{DE2A81BA-A134-410F-A484-5EE800D58055}"/>
  <tableColumns count="9">
    <tableColumn id="1" xr3:uid="{E58AAC96-65F1-4EF8-8CC8-F08FBA3D0701}" uniqueName="1" name="Order ID" queryTableFieldId="1" dataDxfId="67"/>
    <tableColumn id="2" xr3:uid="{65F0EB1B-2D9F-4D8D-BDDF-18B52BA1AE8E}" uniqueName="2" name="Product Name" queryTableFieldId="2" dataDxfId="66"/>
    <tableColumn id="3" xr3:uid="{5F42E5DE-E530-467D-9A92-59E379B29536}" uniqueName="3" name="Category" queryTableFieldId="3" dataDxfId="65"/>
    <tableColumn id="4" xr3:uid="{436FB6E2-BD5B-4D33-985B-F458A779B668}" uniqueName="4" name="Price (INR)" queryTableFieldId="4" dataDxfId="64"/>
    <tableColumn id="5" xr3:uid="{7A555554-3CD4-45CC-9565-A1ECBE112531}" uniqueName="5" name="Quantity Sold" queryTableFieldId="5" dataDxfId="63"/>
    <tableColumn id="6" xr3:uid="{9458FCB8-65E3-4870-B852-72F514C4C06E}" uniqueName="6" name="Total Sales (INR)" queryTableFieldId="6" dataDxfId="62"/>
    <tableColumn id="7" xr3:uid="{3F0D8660-2840-424C-8841-6D7D7E0AFB3E}" uniqueName="7" name="Order Date" queryTableFieldId="7" dataDxfId="61"/>
    <tableColumn id="8" xr3:uid="{754D9FD0-3F14-48F3-AF73-D1EA6953F16E}" uniqueName="8" name="Payment Method" queryTableFieldId="8" dataDxfId="60"/>
    <tableColumn id="9" xr3:uid="{3E160C50-5284-4283-902F-272B26F37DD4}" uniqueName="9" name="Customer Rating" queryTableFieldId="9" dataDxfId="5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3276B-E1C2-4245-BF74-EC2E0D3D6859}">
  <dimension ref="A1:I700"/>
  <sheetViews>
    <sheetView topLeftCell="B1" zoomScale="149" workbookViewId="0">
      <selection sqref="A1:I1"/>
    </sheetView>
  </sheetViews>
  <sheetFormatPr defaultRowHeight="14.4" x14ac:dyDescent="0.3"/>
  <cols>
    <col min="1" max="1" width="10.21875" bestFit="1" customWidth="1"/>
    <col min="2" max="2" width="15.44140625" bestFit="1" customWidth="1"/>
    <col min="3" max="3" width="14.21875" bestFit="1" customWidth="1"/>
    <col min="4" max="4" width="12.109375" style="1" bestFit="1" customWidth="1"/>
    <col min="5" max="5" width="14.6640625" bestFit="1" customWidth="1"/>
    <col min="6" max="6" width="17" style="1" bestFit="1" customWidth="1"/>
    <col min="7" max="7" width="12.33203125" bestFit="1" customWidth="1"/>
    <col min="8" max="8" width="18.109375" bestFit="1" customWidth="1"/>
    <col min="9" max="9" width="17.21875" bestFit="1" customWidth="1"/>
  </cols>
  <sheetData>
    <row r="1" spans="1:9" x14ac:dyDescent="0.3">
      <c r="A1" t="s">
        <v>2</v>
      </c>
      <c r="B1" t="s">
        <v>3</v>
      </c>
      <c r="C1" t="s">
        <v>4</v>
      </c>
      <c r="D1" s="1" t="s">
        <v>5</v>
      </c>
      <c r="E1" t="s">
        <v>6</v>
      </c>
      <c r="F1" s="1" t="s">
        <v>7</v>
      </c>
      <c r="G1" t="s">
        <v>8</v>
      </c>
      <c r="H1" t="s">
        <v>9</v>
      </c>
      <c r="I1" t="s">
        <v>10</v>
      </c>
    </row>
    <row r="2" spans="1:9" x14ac:dyDescent="0.3">
      <c r="A2" s="2" t="s">
        <v>11</v>
      </c>
      <c r="B2" s="2" t="s">
        <v>12</v>
      </c>
      <c r="C2" s="2" t="s">
        <v>13</v>
      </c>
      <c r="D2" s="4">
        <v>49069.56</v>
      </c>
      <c r="E2" s="2">
        <v>2</v>
      </c>
      <c r="F2" s="4">
        <v>98139.12</v>
      </c>
      <c r="G2" s="3">
        <v>45547</v>
      </c>
      <c r="H2" s="2" t="s">
        <v>14</v>
      </c>
      <c r="I2" s="2">
        <v>3.5</v>
      </c>
    </row>
    <row r="3" spans="1:9" x14ac:dyDescent="0.3">
      <c r="A3" s="2" t="s">
        <v>15</v>
      </c>
      <c r="B3" s="2" t="s">
        <v>16</v>
      </c>
      <c r="C3" s="2" t="s">
        <v>17</v>
      </c>
      <c r="D3" s="4">
        <v>12755.85</v>
      </c>
      <c r="E3" s="2">
        <v>4</v>
      </c>
      <c r="F3" s="4">
        <v>51023.4</v>
      </c>
      <c r="G3" s="3">
        <v>45644</v>
      </c>
      <c r="H3" s="2" t="s">
        <v>18</v>
      </c>
      <c r="I3" s="2">
        <v>3.9</v>
      </c>
    </row>
    <row r="4" spans="1:9" x14ac:dyDescent="0.3">
      <c r="A4" s="2" t="s">
        <v>19</v>
      </c>
      <c r="B4" s="2" t="s">
        <v>20</v>
      </c>
      <c r="C4" s="2" t="s">
        <v>21</v>
      </c>
      <c r="D4" s="4">
        <v>11092.19</v>
      </c>
      <c r="E4" s="2">
        <v>4</v>
      </c>
      <c r="F4" s="4">
        <v>44368.76</v>
      </c>
      <c r="G4" s="3">
        <v>45430</v>
      </c>
      <c r="H4" s="2" t="s">
        <v>14</v>
      </c>
      <c r="I4" s="2">
        <v>4.4000000000000004</v>
      </c>
    </row>
    <row r="5" spans="1:9" x14ac:dyDescent="0.3">
      <c r="A5" s="2" t="s">
        <v>22</v>
      </c>
      <c r="B5" s="2" t="s">
        <v>23</v>
      </c>
      <c r="C5" s="2" t="s">
        <v>24</v>
      </c>
      <c r="D5" s="4">
        <v>32657.81</v>
      </c>
      <c r="E5" s="2">
        <v>1</v>
      </c>
      <c r="F5" s="4">
        <v>32657.81</v>
      </c>
      <c r="G5" s="3">
        <v>45604</v>
      </c>
      <c r="H5" s="2" t="s">
        <v>14</v>
      </c>
      <c r="I5" s="2">
        <v>3.2</v>
      </c>
    </row>
    <row r="6" spans="1:9" x14ac:dyDescent="0.3">
      <c r="A6" s="2" t="s">
        <v>25</v>
      </c>
      <c r="B6" s="2" t="s">
        <v>26</v>
      </c>
      <c r="C6" s="2" t="s">
        <v>27</v>
      </c>
      <c r="D6" s="4">
        <v>26590.080000000002</v>
      </c>
      <c r="E6" s="2">
        <v>3</v>
      </c>
      <c r="F6" s="4">
        <v>79770.240000000005</v>
      </c>
      <c r="G6" s="3">
        <v>45653</v>
      </c>
      <c r="H6" s="2" t="s">
        <v>18</v>
      </c>
      <c r="I6" s="2">
        <v>3.1</v>
      </c>
    </row>
    <row r="7" spans="1:9" x14ac:dyDescent="0.3">
      <c r="A7" s="2" t="s">
        <v>28</v>
      </c>
      <c r="B7" s="2" t="s">
        <v>29</v>
      </c>
      <c r="C7" s="2" t="s">
        <v>27</v>
      </c>
      <c r="D7" s="4">
        <v>10475.030000000001</v>
      </c>
      <c r="E7" s="2">
        <v>2</v>
      </c>
      <c r="F7" s="4">
        <v>20950.060000000001</v>
      </c>
      <c r="G7" s="3">
        <v>45587</v>
      </c>
      <c r="H7" s="2" t="s">
        <v>30</v>
      </c>
      <c r="I7" s="2">
        <v>1.7</v>
      </c>
    </row>
    <row r="8" spans="1:9" x14ac:dyDescent="0.3">
      <c r="A8" s="2" t="s">
        <v>31</v>
      </c>
      <c r="B8" s="2" t="s">
        <v>32</v>
      </c>
      <c r="C8" s="2" t="s">
        <v>17</v>
      </c>
      <c r="D8" s="4">
        <v>38647.72</v>
      </c>
      <c r="E8" s="2">
        <v>3</v>
      </c>
      <c r="F8" s="4">
        <v>115943.16</v>
      </c>
      <c r="G8" s="3">
        <v>45477</v>
      </c>
      <c r="H8" s="2" t="s">
        <v>30</v>
      </c>
      <c r="I8" s="2">
        <v>2</v>
      </c>
    </row>
    <row r="9" spans="1:9" x14ac:dyDescent="0.3">
      <c r="A9" s="2" t="s">
        <v>33</v>
      </c>
      <c r="B9" s="2" t="s">
        <v>34</v>
      </c>
      <c r="C9" s="2" t="s">
        <v>27</v>
      </c>
      <c r="D9" s="4">
        <v>24818.59</v>
      </c>
      <c r="E9" s="2">
        <v>3</v>
      </c>
      <c r="F9" s="4">
        <v>74455.77</v>
      </c>
      <c r="G9" s="3">
        <v>45653</v>
      </c>
      <c r="H9" s="2" t="s">
        <v>14</v>
      </c>
      <c r="I9" s="2">
        <v>2.4</v>
      </c>
    </row>
    <row r="10" spans="1:9" x14ac:dyDescent="0.3">
      <c r="A10" s="2" t="s">
        <v>35</v>
      </c>
      <c r="B10" s="2" t="s">
        <v>36</v>
      </c>
      <c r="C10" s="2" t="s">
        <v>17</v>
      </c>
      <c r="D10" s="4">
        <v>1987.39</v>
      </c>
      <c r="E10" s="2">
        <v>2</v>
      </c>
      <c r="F10" s="4">
        <v>3974.78</v>
      </c>
      <c r="G10" s="3">
        <v>45675</v>
      </c>
      <c r="H10" s="2" t="s">
        <v>14</v>
      </c>
      <c r="I10" s="2">
        <v>2.6</v>
      </c>
    </row>
    <row r="11" spans="1:9" x14ac:dyDescent="0.3">
      <c r="A11" s="2" t="s">
        <v>37</v>
      </c>
      <c r="B11" s="2" t="s">
        <v>38</v>
      </c>
      <c r="C11" s="2" t="s">
        <v>24</v>
      </c>
      <c r="D11" s="4">
        <v>26876.51</v>
      </c>
      <c r="E11" s="2">
        <v>2</v>
      </c>
      <c r="F11" s="4">
        <v>53753.02</v>
      </c>
      <c r="G11" s="3">
        <v>45365</v>
      </c>
      <c r="H11" s="2" t="s">
        <v>14</v>
      </c>
      <c r="I11" s="2">
        <v>4</v>
      </c>
    </row>
    <row r="12" spans="1:9" x14ac:dyDescent="0.3">
      <c r="A12" s="2" t="s">
        <v>39</v>
      </c>
      <c r="B12" s="2" t="s">
        <v>40</v>
      </c>
      <c r="C12" s="2" t="s">
        <v>21</v>
      </c>
      <c r="D12" s="4">
        <v>46409.57</v>
      </c>
      <c r="E12" s="2">
        <v>5</v>
      </c>
      <c r="F12" s="4">
        <v>232047.85</v>
      </c>
      <c r="G12" s="3">
        <v>45696</v>
      </c>
      <c r="H12" s="2" t="s">
        <v>18</v>
      </c>
      <c r="I12" s="2">
        <v>2.2999999999999998</v>
      </c>
    </row>
    <row r="13" spans="1:9" x14ac:dyDescent="0.3">
      <c r="A13" s="2" t="s">
        <v>41</v>
      </c>
      <c r="B13" s="2" t="s">
        <v>42</v>
      </c>
      <c r="C13" s="2" t="s">
        <v>21</v>
      </c>
      <c r="D13" s="4">
        <v>48780.78</v>
      </c>
      <c r="E13" s="2">
        <v>5</v>
      </c>
      <c r="F13" s="4">
        <v>243903.9</v>
      </c>
      <c r="G13" s="3">
        <v>45395</v>
      </c>
      <c r="H13" s="2" t="s">
        <v>18</v>
      </c>
      <c r="I13" s="2">
        <v>1.3</v>
      </c>
    </row>
    <row r="14" spans="1:9" x14ac:dyDescent="0.3">
      <c r="A14" s="2" t="s">
        <v>43</v>
      </c>
      <c r="B14" s="2" t="s">
        <v>12</v>
      </c>
      <c r="C14" s="2" t="s">
        <v>13</v>
      </c>
      <c r="D14" s="4">
        <v>6670.82</v>
      </c>
      <c r="E14" s="2">
        <v>5</v>
      </c>
      <c r="F14" s="4">
        <v>33354.1</v>
      </c>
      <c r="G14" s="3">
        <v>45345</v>
      </c>
      <c r="H14" s="2" t="s">
        <v>44</v>
      </c>
      <c r="I14" s="2">
        <v>1.2</v>
      </c>
    </row>
    <row r="15" spans="1:9" x14ac:dyDescent="0.3">
      <c r="A15" s="2" t="s">
        <v>45</v>
      </c>
      <c r="B15" s="2" t="s">
        <v>46</v>
      </c>
      <c r="C15" s="2" t="s">
        <v>24</v>
      </c>
      <c r="D15" s="4">
        <v>10826.05</v>
      </c>
      <c r="E15" s="2">
        <v>1</v>
      </c>
      <c r="F15" s="4">
        <v>10826.05</v>
      </c>
      <c r="G15" s="3">
        <v>45445</v>
      </c>
      <c r="H15" s="2" t="s">
        <v>30</v>
      </c>
      <c r="I15" s="2">
        <v>3.7</v>
      </c>
    </row>
    <row r="16" spans="1:9" x14ac:dyDescent="0.3">
      <c r="A16" s="2" t="s">
        <v>47</v>
      </c>
      <c r="B16" s="2" t="s">
        <v>48</v>
      </c>
      <c r="C16" s="2" t="s">
        <v>13</v>
      </c>
      <c r="D16" s="4">
        <v>6839.1</v>
      </c>
      <c r="E16" s="2">
        <v>1</v>
      </c>
      <c r="F16" s="4">
        <v>6839.1</v>
      </c>
      <c r="G16" s="3">
        <v>45547</v>
      </c>
      <c r="H16" s="2" t="s">
        <v>49</v>
      </c>
      <c r="I16" s="2">
        <v>1.6</v>
      </c>
    </row>
    <row r="17" spans="1:9" x14ac:dyDescent="0.3">
      <c r="A17" s="2" t="s">
        <v>50</v>
      </c>
      <c r="B17" s="2" t="s">
        <v>29</v>
      </c>
      <c r="C17" s="2" t="s">
        <v>27</v>
      </c>
      <c r="D17" s="4">
        <v>18197.89</v>
      </c>
      <c r="E17" s="2">
        <v>5</v>
      </c>
      <c r="F17" s="4">
        <v>90989.45</v>
      </c>
      <c r="G17" s="3">
        <v>45381</v>
      </c>
      <c r="H17" s="2" t="s">
        <v>14</v>
      </c>
      <c r="I17" s="2">
        <v>1.6</v>
      </c>
    </row>
    <row r="18" spans="1:9" x14ac:dyDescent="0.3">
      <c r="A18" s="2" t="s">
        <v>51</v>
      </c>
      <c r="B18" s="2" t="s">
        <v>52</v>
      </c>
      <c r="C18" s="2" t="s">
        <v>13</v>
      </c>
      <c r="D18" s="4">
        <v>20817.46</v>
      </c>
      <c r="E18" s="2">
        <v>2</v>
      </c>
      <c r="F18" s="4">
        <v>41634.92</v>
      </c>
      <c r="G18" s="3">
        <v>45381</v>
      </c>
      <c r="H18" s="2" t="s">
        <v>14</v>
      </c>
      <c r="I18" s="2">
        <v>2.2999999999999998</v>
      </c>
    </row>
    <row r="19" spans="1:9" x14ac:dyDescent="0.3">
      <c r="A19" s="2" t="s">
        <v>53</v>
      </c>
      <c r="B19" s="2" t="s">
        <v>40</v>
      </c>
      <c r="C19" s="2" t="s">
        <v>21</v>
      </c>
      <c r="D19" s="4">
        <v>44061.25</v>
      </c>
      <c r="E19" s="2">
        <v>4</v>
      </c>
      <c r="F19" s="4">
        <v>176245</v>
      </c>
      <c r="G19" s="3">
        <v>45404</v>
      </c>
      <c r="H19" s="2" t="s">
        <v>44</v>
      </c>
      <c r="I19" s="2">
        <v>2.5</v>
      </c>
    </row>
    <row r="20" spans="1:9" x14ac:dyDescent="0.3">
      <c r="A20" s="2" t="s">
        <v>54</v>
      </c>
      <c r="B20" s="2" t="s">
        <v>52</v>
      </c>
      <c r="C20" s="2" t="s">
        <v>13</v>
      </c>
      <c r="D20" s="4">
        <v>4398.59</v>
      </c>
      <c r="E20" s="2">
        <v>5</v>
      </c>
      <c r="F20" s="4">
        <v>21992.95</v>
      </c>
      <c r="G20" s="3">
        <v>45373</v>
      </c>
      <c r="H20" s="2" t="s">
        <v>30</v>
      </c>
      <c r="I20" s="2">
        <v>4</v>
      </c>
    </row>
    <row r="21" spans="1:9" x14ac:dyDescent="0.3">
      <c r="A21" s="2" t="s">
        <v>55</v>
      </c>
      <c r="B21" s="2" t="s">
        <v>56</v>
      </c>
      <c r="C21" s="2" t="s">
        <v>17</v>
      </c>
      <c r="D21" s="4">
        <v>32565.77</v>
      </c>
      <c r="E21" s="2">
        <v>5</v>
      </c>
      <c r="F21" s="4">
        <v>162828.85</v>
      </c>
      <c r="G21" s="3">
        <v>45663</v>
      </c>
      <c r="H21" s="2" t="s">
        <v>44</v>
      </c>
      <c r="I21" s="2">
        <v>4.4000000000000004</v>
      </c>
    </row>
    <row r="22" spans="1:9" x14ac:dyDescent="0.3">
      <c r="A22" s="2" t="s">
        <v>57</v>
      </c>
      <c r="B22" s="2" t="s">
        <v>26</v>
      </c>
      <c r="C22" s="2" t="s">
        <v>27</v>
      </c>
      <c r="D22" s="4">
        <v>47529.36</v>
      </c>
      <c r="E22" s="2">
        <v>1</v>
      </c>
      <c r="F22" s="4">
        <v>47529.36</v>
      </c>
      <c r="G22" s="3">
        <v>45482</v>
      </c>
      <c r="H22" s="2" t="s">
        <v>58</v>
      </c>
      <c r="I22" s="2">
        <v>4.5</v>
      </c>
    </row>
    <row r="23" spans="1:9" x14ac:dyDescent="0.3">
      <c r="A23" s="2" t="s">
        <v>59</v>
      </c>
      <c r="B23" s="2" t="s">
        <v>16</v>
      </c>
      <c r="C23" s="2" t="s">
        <v>17</v>
      </c>
      <c r="D23" s="4">
        <v>37129.730000000003</v>
      </c>
      <c r="E23" s="2">
        <v>3</v>
      </c>
      <c r="F23" s="4">
        <v>111389.19</v>
      </c>
      <c r="G23" s="3">
        <v>45679</v>
      </c>
      <c r="H23" s="2" t="s">
        <v>30</v>
      </c>
      <c r="I23" s="2">
        <v>4.3</v>
      </c>
    </row>
    <row r="24" spans="1:9" x14ac:dyDescent="0.3">
      <c r="A24" s="2" t="s">
        <v>60</v>
      </c>
      <c r="B24" s="2" t="s">
        <v>12</v>
      </c>
      <c r="C24" s="2" t="s">
        <v>13</v>
      </c>
      <c r="D24" s="4">
        <v>48258.19</v>
      </c>
      <c r="E24" s="2">
        <v>4</v>
      </c>
      <c r="F24" s="4">
        <v>193032.76</v>
      </c>
      <c r="G24" s="3">
        <v>45466</v>
      </c>
      <c r="H24" s="2" t="s">
        <v>18</v>
      </c>
      <c r="I24" s="2">
        <v>1.6</v>
      </c>
    </row>
    <row r="25" spans="1:9" x14ac:dyDescent="0.3">
      <c r="A25" s="2" t="s">
        <v>61</v>
      </c>
      <c r="B25" s="2" t="s">
        <v>62</v>
      </c>
      <c r="C25" s="2" t="s">
        <v>27</v>
      </c>
      <c r="D25" s="4">
        <v>32505.96</v>
      </c>
      <c r="E25" s="2">
        <v>1</v>
      </c>
      <c r="F25" s="4">
        <v>32505.96</v>
      </c>
      <c r="G25" s="3">
        <v>45370</v>
      </c>
      <c r="H25" s="2" t="s">
        <v>30</v>
      </c>
      <c r="I25" s="2">
        <v>2.8</v>
      </c>
    </row>
    <row r="26" spans="1:9" x14ac:dyDescent="0.3">
      <c r="A26" s="2" t="s">
        <v>63</v>
      </c>
      <c r="B26" s="2" t="s">
        <v>26</v>
      </c>
      <c r="C26" s="2" t="s">
        <v>27</v>
      </c>
      <c r="D26" s="4">
        <v>4165.6400000000003</v>
      </c>
      <c r="E26" s="2">
        <v>2</v>
      </c>
      <c r="F26" s="4">
        <v>8331.2800000000007</v>
      </c>
      <c r="G26" s="3">
        <v>45620</v>
      </c>
      <c r="H26" s="2" t="s">
        <v>44</v>
      </c>
      <c r="I26" s="2">
        <v>1.1000000000000001</v>
      </c>
    </row>
    <row r="27" spans="1:9" x14ac:dyDescent="0.3">
      <c r="A27" s="2" t="s">
        <v>64</v>
      </c>
      <c r="B27" s="2" t="s">
        <v>56</v>
      </c>
      <c r="C27" s="2" t="s">
        <v>17</v>
      </c>
      <c r="D27" s="4">
        <v>2053.11</v>
      </c>
      <c r="E27" s="2">
        <v>4</v>
      </c>
      <c r="F27" s="4">
        <v>8212.44</v>
      </c>
      <c r="G27" s="3">
        <v>45496</v>
      </c>
      <c r="H27" s="2" t="s">
        <v>44</v>
      </c>
      <c r="I27" s="2">
        <v>3.4</v>
      </c>
    </row>
    <row r="28" spans="1:9" x14ac:dyDescent="0.3">
      <c r="A28" s="2" t="s">
        <v>65</v>
      </c>
      <c r="B28" s="2" t="s">
        <v>16</v>
      </c>
      <c r="C28" s="2" t="s">
        <v>17</v>
      </c>
      <c r="D28" s="4">
        <v>38927.620000000003</v>
      </c>
      <c r="E28" s="2">
        <v>4</v>
      </c>
      <c r="F28" s="4">
        <v>155710.48000000001</v>
      </c>
      <c r="G28" s="3">
        <v>45528</v>
      </c>
      <c r="H28" s="2" t="s">
        <v>30</v>
      </c>
      <c r="I28" s="2">
        <v>2.5</v>
      </c>
    </row>
    <row r="29" spans="1:9" x14ac:dyDescent="0.3">
      <c r="A29" s="2" t="s">
        <v>66</v>
      </c>
      <c r="B29" s="2" t="s">
        <v>29</v>
      </c>
      <c r="C29" s="2" t="s">
        <v>27</v>
      </c>
      <c r="D29" s="4">
        <v>28978.47</v>
      </c>
      <c r="E29" s="2">
        <v>4</v>
      </c>
      <c r="F29" s="4">
        <v>115913.88</v>
      </c>
      <c r="G29" s="3">
        <v>45494</v>
      </c>
      <c r="H29" s="2" t="s">
        <v>18</v>
      </c>
      <c r="I29" s="2">
        <v>2.2999999999999998</v>
      </c>
    </row>
    <row r="30" spans="1:9" x14ac:dyDescent="0.3">
      <c r="A30" s="2" t="s">
        <v>67</v>
      </c>
      <c r="B30" s="2" t="s">
        <v>42</v>
      </c>
      <c r="C30" s="2" t="s">
        <v>21</v>
      </c>
      <c r="D30" s="4">
        <v>21293.42</v>
      </c>
      <c r="E30" s="2">
        <v>5</v>
      </c>
      <c r="F30" s="4">
        <v>106467.1</v>
      </c>
      <c r="G30" s="3">
        <v>45398</v>
      </c>
      <c r="H30" s="2" t="s">
        <v>30</v>
      </c>
      <c r="I30" s="2">
        <v>2.2000000000000002</v>
      </c>
    </row>
    <row r="31" spans="1:9" x14ac:dyDescent="0.3">
      <c r="A31" s="2" t="s">
        <v>68</v>
      </c>
      <c r="B31" s="2" t="s">
        <v>42</v>
      </c>
      <c r="C31" s="2" t="s">
        <v>21</v>
      </c>
      <c r="D31" s="4">
        <v>49097.01</v>
      </c>
      <c r="E31" s="2">
        <v>4</v>
      </c>
      <c r="F31" s="4">
        <v>196388.04</v>
      </c>
      <c r="G31" s="3">
        <v>45509</v>
      </c>
      <c r="H31" s="2" t="s">
        <v>49</v>
      </c>
      <c r="I31" s="2">
        <v>3.7</v>
      </c>
    </row>
    <row r="32" spans="1:9" x14ac:dyDescent="0.3">
      <c r="A32" s="2" t="s">
        <v>69</v>
      </c>
      <c r="B32" s="2" t="s">
        <v>40</v>
      </c>
      <c r="C32" s="2" t="s">
        <v>21</v>
      </c>
      <c r="D32" s="4">
        <v>47651.19</v>
      </c>
      <c r="E32" s="2">
        <v>1</v>
      </c>
      <c r="F32" s="4">
        <v>47651.19</v>
      </c>
      <c r="G32" s="3">
        <v>45396</v>
      </c>
      <c r="H32" s="2" t="s">
        <v>58</v>
      </c>
      <c r="I32" s="2">
        <v>3.6</v>
      </c>
    </row>
    <row r="33" spans="1:9" x14ac:dyDescent="0.3">
      <c r="A33" s="2" t="s">
        <v>70</v>
      </c>
      <c r="B33" s="2" t="s">
        <v>71</v>
      </c>
      <c r="C33" s="2" t="s">
        <v>21</v>
      </c>
      <c r="D33" s="4">
        <v>15046.01</v>
      </c>
      <c r="E33" s="2">
        <v>5</v>
      </c>
      <c r="F33" s="4">
        <v>75230.05</v>
      </c>
      <c r="G33" s="3">
        <v>45582</v>
      </c>
      <c r="H33" s="2" t="s">
        <v>44</v>
      </c>
      <c r="I33" s="2">
        <v>1.1000000000000001</v>
      </c>
    </row>
    <row r="34" spans="1:9" x14ac:dyDescent="0.3">
      <c r="A34" s="2" t="s">
        <v>72</v>
      </c>
      <c r="B34" s="2" t="s">
        <v>73</v>
      </c>
      <c r="C34" s="2" t="s">
        <v>24</v>
      </c>
      <c r="D34" s="4">
        <v>36980.1</v>
      </c>
      <c r="E34" s="2">
        <v>3</v>
      </c>
      <c r="F34" s="4">
        <v>110940.3</v>
      </c>
      <c r="G34" s="3">
        <v>45566</v>
      </c>
      <c r="H34" s="2" t="s">
        <v>44</v>
      </c>
      <c r="I34" s="2">
        <v>3.2</v>
      </c>
    </row>
    <row r="35" spans="1:9" x14ac:dyDescent="0.3">
      <c r="A35" s="2" t="s">
        <v>74</v>
      </c>
      <c r="B35" s="2" t="s">
        <v>34</v>
      </c>
      <c r="C35" s="2" t="s">
        <v>27</v>
      </c>
      <c r="D35" s="4">
        <v>38144.67</v>
      </c>
      <c r="E35" s="2">
        <v>2</v>
      </c>
      <c r="F35" s="4">
        <v>76289.34</v>
      </c>
      <c r="G35" s="3">
        <v>45488</v>
      </c>
      <c r="H35" s="2" t="s">
        <v>58</v>
      </c>
      <c r="I35" s="2">
        <v>3.1</v>
      </c>
    </row>
    <row r="36" spans="1:9" x14ac:dyDescent="0.3">
      <c r="A36" s="2" t="s">
        <v>75</v>
      </c>
      <c r="B36" s="2" t="s">
        <v>73</v>
      </c>
      <c r="C36" s="2" t="s">
        <v>24</v>
      </c>
      <c r="D36" s="4">
        <v>49355.45</v>
      </c>
      <c r="E36" s="2">
        <v>2</v>
      </c>
      <c r="F36" s="4">
        <v>98710.9</v>
      </c>
      <c r="G36" s="3">
        <v>45413</v>
      </c>
      <c r="H36" s="2" t="s">
        <v>44</v>
      </c>
      <c r="I36" s="2">
        <v>3.5</v>
      </c>
    </row>
    <row r="37" spans="1:9" x14ac:dyDescent="0.3">
      <c r="A37" s="2" t="s">
        <v>76</v>
      </c>
      <c r="B37" s="2" t="s">
        <v>77</v>
      </c>
      <c r="C37" s="2" t="s">
        <v>21</v>
      </c>
      <c r="D37" s="4">
        <v>12945.96</v>
      </c>
      <c r="E37" s="2">
        <v>3</v>
      </c>
      <c r="F37" s="4">
        <v>38837.879999999997</v>
      </c>
      <c r="G37" s="3">
        <v>45453</v>
      </c>
      <c r="H37" s="2" t="s">
        <v>30</v>
      </c>
      <c r="I37" s="2">
        <v>1.4</v>
      </c>
    </row>
    <row r="38" spans="1:9" x14ac:dyDescent="0.3">
      <c r="A38" s="2" t="s">
        <v>78</v>
      </c>
      <c r="B38" s="2" t="s">
        <v>40</v>
      </c>
      <c r="C38" s="2" t="s">
        <v>21</v>
      </c>
      <c r="D38" s="4">
        <v>34927.79</v>
      </c>
      <c r="E38" s="2">
        <v>4</v>
      </c>
      <c r="F38" s="4">
        <v>139711.16</v>
      </c>
      <c r="G38" s="3">
        <v>45470</v>
      </c>
      <c r="H38" s="2" t="s">
        <v>49</v>
      </c>
      <c r="I38" s="2">
        <v>1.1000000000000001</v>
      </c>
    </row>
    <row r="39" spans="1:9" x14ac:dyDescent="0.3">
      <c r="A39" s="2" t="s">
        <v>79</v>
      </c>
      <c r="B39" s="2" t="s">
        <v>34</v>
      </c>
      <c r="C39" s="2" t="s">
        <v>27</v>
      </c>
      <c r="D39" s="4">
        <v>3677.4</v>
      </c>
      <c r="E39" s="2">
        <v>3</v>
      </c>
      <c r="F39" s="4">
        <v>11032.2</v>
      </c>
      <c r="G39" s="3">
        <v>45504</v>
      </c>
      <c r="H39" s="2" t="s">
        <v>18</v>
      </c>
      <c r="I39" s="2">
        <v>3.7</v>
      </c>
    </row>
    <row r="40" spans="1:9" x14ac:dyDescent="0.3">
      <c r="A40" s="2" t="s">
        <v>80</v>
      </c>
      <c r="B40" s="2" t="s">
        <v>48</v>
      </c>
      <c r="C40" s="2" t="s">
        <v>13</v>
      </c>
      <c r="D40" s="4">
        <v>37004.54</v>
      </c>
      <c r="E40" s="2">
        <v>4</v>
      </c>
      <c r="F40" s="4">
        <v>148018.16</v>
      </c>
      <c r="G40" s="3">
        <v>45591</v>
      </c>
      <c r="H40" s="2" t="s">
        <v>14</v>
      </c>
      <c r="I40" s="2">
        <v>4</v>
      </c>
    </row>
    <row r="41" spans="1:9" x14ac:dyDescent="0.3">
      <c r="A41" s="2" t="s">
        <v>81</v>
      </c>
      <c r="B41" s="2" t="s">
        <v>52</v>
      </c>
      <c r="C41" s="2" t="s">
        <v>13</v>
      </c>
      <c r="D41" s="4">
        <v>27961.78</v>
      </c>
      <c r="E41" s="2">
        <v>5</v>
      </c>
      <c r="F41" s="4">
        <v>139808.9</v>
      </c>
      <c r="G41" s="3">
        <v>45345</v>
      </c>
      <c r="H41" s="2" t="s">
        <v>58</v>
      </c>
      <c r="I41" s="2">
        <v>4</v>
      </c>
    </row>
    <row r="42" spans="1:9" x14ac:dyDescent="0.3">
      <c r="A42" s="2" t="s">
        <v>82</v>
      </c>
      <c r="B42" s="2" t="s">
        <v>48</v>
      </c>
      <c r="C42" s="2" t="s">
        <v>13</v>
      </c>
      <c r="D42" s="4">
        <v>2655.8</v>
      </c>
      <c r="E42" s="2">
        <v>2</v>
      </c>
      <c r="F42" s="4">
        <v>5311.6</v>
      </c>
      <c r="G42" s="3">
        <v>45334</v>
      </c>
      <c r="H42" s="2" t="s">
        <v>58</v>
      </c>
      <c r="I42" s="2">
        <v>3.7</v>
      </c>
    </row>
    <row r="43" spans="1:9" x14ac:dyDescent="0.3">
      <c r="A43" s="2" t="s">
        <v>83</v>
      </c>
      <c r="B43" s="2" t="s">
        <v>84</v>
      </c>
      <c r="C43" s="2" t="s">
        <v>24</v>
      </c>
      <c r="D43" s="4">
        <v>965.51</v>
      </c>
      <c r="E43" s="2">
        <v>4</v>
      </c>
      <c r="F43" s="4">
        <v>3862.04</v>
      </c>
      <c r="G43" s="3">
        <v>45449</v>
      </c>
      <c r="H43" s="2" t="s">
        <v>44</v>
      </c>
      <c r="I43" s="2">
        <v>3.5</v>
      </c>
    </row>
    <row r="44" spans="1:9" x14ac:dyDescent="0.3">
      <c r="A44" s="2" t="s">
        <v>85</v>
      </c>
      <c r="B44" s="2" t="s">
        <v>62</v>
      </c>
      <c r="C44" s="2" t="s">
        <v>27</v>
      </c>
      <c r="D44" s="4">
        <v>2980.08</v>
      </c>
      <c r="E44" s="2">
        <v>3</v>
      </c>
      <c r="F44" s="4">
        <v>8940.24</v>
      </c>
      <c r="G44" s="3">
        <v>45640</v>
      </c>
      <c r="H44" s="2" t="s">
        <v>58</v>
      </c>
      <c r="I44" s="2">
        <v>4.2</v>
      </c>
    </row>
    <row r="45" spans="1:9" x14ac:dyDescent="0.3">
      <c r="A45" s="2" t="s">
        <v>86</v>
      </c>
      <c r="B45" s="2" t="s">
        <v>29</v>
      </c>
      <c r="C45" s="2" t="s">
        <v>27</v>
      </c>
      <c r="D45" s="4">
        <v>8598.58</v>
      </c>
      <c r="E45" s="2">
        <v>1</v>
      </c>
      <c r="F45" s="4">
        <v>8598.58</v>
      </c>
      <c r="G45" s="3">
        <v>45574</v>
      </c>
      <c r="H45" s="2" t="s">
        <v>14</v>
      </c>
      <c r="I45" s="2">
        <v>1.1000000000000001</v>
      </c>
    </row>
    <row r="46" spans="1:9" x14ac:dyDescent="0.3">
      <c r="A46" s="2" t="s">
        <v>87</v>
      </c>
      <c r="B46" s="2" t="s">
        <v>77</v>
      </c>
      <c r="C46" s="2" t="s">
        <v>21</v>
      </c>
      <c r="D46" s="4">
        <v>31850.15</v>
      </c>
      <c r="E46" s="2">
        <v>2</v>
      </c>
      <c r="F46" s="4">
        <v>63700.3</v>
      </c>
      <c r="G46" s="3">
        <v>45396</v>
      </c>
      <c r="H46" s="2" t="s">
        <v>58</v>
      </c>
      <c r="I46" s="2">
        <v>2.8</v>
      </c>
    </row>
    <row r="47" spans="1:9" x14ac:dyDescent="0.3">
      <c r="A47" s="2" t="s">
        <v>88</v>
      </c>
      <c r="B47" s="2" t="s">
        <v>23</v>
      </c>
      <c r="C47" s="2" t="s">
        <v>24</v>
      </c>
      <c r="D47" s="4">
        <v>33443.32</v>
      </c>
      <c r="E47" s="2">
        <v>5</v>
      </c>
      <c r="F47" s="4">
        <v>167216.6</v>
      </c>
      <c r="G47" s="3">
        <v>45337</v>
      </c>
      <c r="H47" s="2" t="s">
        <v>18</v>
      </c>
      <c r="I47" s="2">
        <v>2.4</v>
      </c>
    </row>
    <row r="48" spans="1:9" x14ac:dyDescent="0.3">
      <c r="A48" s="2" t="s">
        <v>89</v>
      </c>
      <c r="B48" s="2" t="s">
        <v>36</v>
      </c>
      <c r="C48" s="2" t="s">
        <v>17</v>
      </c>
      <c r="D48" s="4">
        <v>29592.5</v>
      </c>
      <c r="E48" s="2">
        <v>5</v>
      </c>
      <c r="F48" s="4">
        <v>147962.5</v>
      </c>
      <c r="G48" s="3">
        <v>45498</v>
      </c>
      <c r="H48" s="2" t="s">
        <v>58</v>
      </c>
      <c r="I48" s="2">
        <v>4.7</v>
      </c>
    </row>
    <row r="49" spans="1:9" x14ac:dyDescent="0.3">
      <c r="A49" s="2" t="s">
        <v>90</v>
      </c>
      <c r="B49" s="2" t="s">
        <v>71</v>
      </c>
      <c r="C49" s="2" t="s">
        <v>21</v>
      </c>
      <c r="D49" s="4">
        <v>11187.38</v>
      </c>
      <c r="E49" s="2">
        <v>4</v>
      </c>
      <c r="F49" s="4">
        <v>44749.52</v>
      </c>
      <c r="G49" s="3">
        <v>45465</v>
      </c>
      <c r="H49" s="2" t="s">
        <v>30</v>
      </c>
      <c r="I49" s="2">
        <v>2.2999999999999998</v>
      </c>
    </row>
    <row r="50" spans="1:9" x14ac:dyDescent="0.3">
      <c r="A50" s="2" t="s">
        <v>91</v>
      </c>
      <c r="B50" s="2" t="s">
        <v>62</v>
      </c>
      <c r="C50" s="2" t="s">
        <v>27</v>
      </c>
      <c r="D50" s="4">
        <v>23898.58</v>
      </c>
      <c r="E50" s="2">
        <v>5</v>
      </c>
      <c r="F50" s="4">
        <v>119492.9</v>
      </c>
      <c r="G50" s="3">
        <v>45624</v>
      </c>
      <c r="H50" s="2" t="s">
        <v>49</v>
      </c>
      <c r="I50" s="2">
        <v>3.3</v>
      </c>
    </row>
    <row r="51" spans="1:9" x14ac:dyDescent="0.3">
      <c r="A51" s="2" t="s">
        <v>92</v>
      </c>
      <c r="B51" s="2" t="s">
        <v>48</v>
      </c>
      <c r="C51" s="2" t="s">
        <v>13</v>
      </c>
      <c r="D51" s="4">
        <v>1391.49</v>
      </c>
      <c r="E51" s="2">
        <v>4</v>
      </c>
      <c r="F51" s="4">
        <v>5565.96</v>
      </c>
      <c r="G51" s="3">
        <v>45515</v>
      </c>
      <c r="H51" s="2" t="s">
        <v>49</v>
      </c>
      <c r="I51" s="2">
        <v>4.5</v>
      </c>
    </row>
    <row r="52" spans="1:9" x14ac:dyDescent="0.3">
      <c r="A52" s="2" t="s">
        <v>93</v>
      </c>
      <c r="B52" s="2" t="s">
        <v>16</v>
      </c>
      <c r="C52" s="2" t="s">
        <v>17</v>
      </c>
      <c r="D52" s="4">
        <v>18607.689999999999</v>
      </c>
      <c r="E52" s="2">
        <v>5</v>
      </c>
      <c r="F52" s="4">
        <v>93038.45</v>
      </c>
      <c r="G52" s="3">
        <v>45545</v>
      </c>
      <c r="H52" s="2" t="s">
        <v>44</v>
      </c>
      <c r="I52" s="2">
        <v>2.4</v>
      </c>
    </row>
    <row r="53" spans="1:9" x14ac:dyDescent="0.3">
      <c r="A53" s="2" t="s">
        <v>94</v>
      </c>
      <c r="B53" s="2" t="s">
        <v>95</v>
      </c>
      <c r="C53" s="2" t="s">
        <v>13</v>
      </c>
      <c r="D53" s="4">
        <v>46224.88</v>
      </c>
      <c r="E53" s="2">
        <v>3</v>
      </c>
      <c r="F53" s="4">
        <v>138674.64000000001</v>
      </c>
      <c r="G53" s="3">
        <v>45595</v>
      </c>
      <c r="H53" s="2" t="s">
        <v>49</v>
      </c>
      <c r="I53" s="2">
        <v>4.0999999999999996</v>
      </c>
    </row>
    <row r="54" spans="1:9" x14ac:dyDescent="0.3">
      <c r="A54" s="2" t="s">
        <v>96</v>
      </c>
      <c r="B54" s="2" t="s">
        <v>38</v>
      </c>
      <c r="C54" s="2" t="s">
        <v>24</v>
      </c>
      <c r="D54" s="4">
        <v>11864.13</v>
      </c>
      <c r="E54" s="2">
        <v>5</v>
      </c>
      <c r="F54" s="4">
        <v>59320.65</v>
      </c>
      <c r="G54" s="3">
        <v>45607</v>
      </c>
      <c r="H54" s="2" t="s">
        <v>14</v>
      </c>
      <c r="I54" s="2">
        <v>1.3</v>
      </c>
    </row>
    <row r="55" spans="1:9" x14ac:dyDescent="0.3">
      <c r="A55" s="2" t="s">
        <v>97</v>
      </c>
      <c r="B55" s="2" t="s">
        <v>48</v>
      </c>
      <c r="C55" s="2" t="s">
        <v>13</v>
      </c>
      <c r="D55" s="4">
        <v>7757.2</v>
      </c>
      <c r="E55" s="2">
        <v>5</v>
      </c>
      <c r="F55" s="4">
        <v>38786</v>
      </c>
      <c r="G55" s="3">
        <v>45618</v>
      </c>
      <c r="H55" s="2" t="s">
        <v>30</v>
      </c>
      <c r="I55" s="2">
        <v>2.2000000000000002</v>
      </c>
    </row>
    <row r="56" spans="1:9" x14ac:dyDescent="0.3">
      <c r="A56" s="2" t="s">
        <v>98</v>
      </c>
      <c r="B56" s="2" t="s">
        <v>23</v>
      </c>
      <c r="C56" s="2" t="s">
        <v>24</v>
      </c>
      <c r="D56" s="4">
        <v>29745</v>
      </c>
      <c r="E56" s="2">
        <v>1</v>
      </c>
      <c r="F56" s="4">
        <v>29745</v>
      </c>
      <c r="G56" s="3">
        <v>45569</v>
      </c>
      <c r="H56" s="2" t="s">
        <v>18</v>
      </c>
      <c r="I56" s="2">
        <v>3.6</v>
      </c>
    </row>
    <row r="57" spans="1:9" x14ac:dyDescent="0.3">
      <c r="A57" s="2" t="s">
        <v>99</v>
      </c>
      <c r="B57" s="2" t="s">
        <v>16</v>
      </c>
      <c r="C57" s="2" t="s">
        <v>17</v>
      </c>
      <c r="D57" s="4">
        <v>39176.54</v>
      </c>
      <c r="E57" s="2">
        <v>5</v>
      </c>
      <c r="F57" s="4">
        <v>195882.7</v>
      </c>
      <c r="G57" s="3">
        <v>45386</v>
      </c>
      <c r="H57" s="2" t="s">
        <v>58</v>
      </c>
      <c r="I57" s="2">
        <v>4.0999999999999996</v>
      </c>
    </row>
    <row r="58" spans="1:9" x14ac:dyDescent="0.3">
      <c r="A58" s="2" t="s">
        <v>100</v>
      </c>
      <c r="B58" s="2" t="s">
        <v>16</v>
      </c>
      <c r="C58" s="2" t="s">
        <v>17</v>
      </c>
      <c r="D58" s="4">
        <v>18075.189999999999</v>
      </c>
      <c r="E58" s="2">
        <v>5</v>
      </c>
      <c r="F58" s="4">
        <v>90375.95</v>
      </c>
      <c r="G58" s="3">
        <v>45538</v>
      </c>
      <c r="H58" s="2" t="s">
        <v>14</v>
      </c>
      <c r="I58" s="2">
        <v>1.7</v>
      </c>
    </row>
    <row r="59" spans="1:9" x14ac:dyDescent="0.3">
      <c r="A59" s="2" t="s">
        <v>101</v>
      </c>
      <c r="B59" s="2" t="s">
        <v>102</v>
      </c>
      <c r="C59" s="2" t="s">
        <v>13</v>
      </c>
      <c r="D59" s="4">
        <v>18830.59</v>
      </c>
      <c r="E59" s="2">
        <v>4</v>
      </c>
      <c r="F59" s="4">
        <v>75322.36</v>
      </c>
      <c r="G59" s="3">
        <v>45428</v>
      </c>
      <c r="H59" s="2" t="s">
        <v>58</v>
      </c>
      <c r="I59" s="2">
        <v>3.6</v>
      </c>
    </row>
    <row r="60" spans="1:9" x14ac:dyDescent="0.3">
      <c r="A60" s="2" t="s">
        <v>103</v>
      </c>
      <c r="B60" s="2" t="s">
        <v>84</v>
      </c>
      <c r="C60" s="2" t="s">
        <v>24</v>
      </c>
      <c r="D60" s="4">
        <v>38476.480000000003</v>
      </c>
      <c r="E60" s="2">
        <v>4</v>
      </c>
      <c r="F60" s="4">
        <v>153905.92000000001</v>
      </c>
      <c r="G60" s="3">
        <v>45534</v>
      </c>
      <c r="H60" s="2" t="s">
        <v>49</v>
      </c>
      <c r="I60" s="2">
        <v>2</v>
      </c>
    </row>
    <row r="61" spans="1:9" x14ac:dyDescent="0.3">
      <c r="A61" s="2" t="s">
        <v>104</v>
      </c>
      <c r="B61" s="2" t="s">
        <v>73</v>
      </c>
      <c r="C61" s="2" t="s">
        <v>24</v>
      </c>
      <c r="D61" s="4">
        <v>27120.36</v>
      </c>
      <c r="E61" s="2">
        <v>2</v>
      </c>
      <c r="F61" s="4">
        <v>54240.72</v>
      </c>
      <c r="G61" s="3">
        <v>45456</v>
      </c>
      <c r="H61" s="2" t="s">
        <v>49</v>
      </c>
      <c r="I61" s="2">
        <v>3.8</v>
      </c>
    </row>
    <row r="62" spans="1:9" x14ac:dyDescent="0.3">
      <c r="A62" s="2" t="s">
        <v>105</v>
      </c>
      <c r="B62" s="2" t="s">
        <v>52</v>
      </c>
      <c r="C62" s="2" t="s">
        <v>13</v>
      </c>
      <c r="D62" s="4">
        <v>31627</v>
      </c>
      <c r="E62" s="2">
        <v>5</v>
      </c>
      <c r="F62" s="4">
        <v>158135</v>
      </c>
      <c r="G62" s="3">
        <v>45501</v>
      </c>
      <c r="H62" s="2" t="s">
        <v>14</v>
      </c>
      <c r="I62" s="2">
        <v>3.1</v>
      </c>
    </row>
    <row r="63" spans="1:9" x14ac:dyDescent="0.3">
      <c r="A63" s="2" t="s">
        <v>106</v>
      </c>
      <c r="B63" s="2" t="s">
        <v>48</v>
      </c>
      <c r="C63" s="2" t="s">
        <v>13</v>
      </c>
      <c r="D63" s="4">
        <v>14505.79</v>
      </c>
      <c r="E63" s="2">
        <v>3</v>
      </c>
      <c r="F63" s="4">
        <v>43517.37</v>
      </c>
      <c r="G63" s="3">
        <v>45483</v>
      </c>
      <c r="H63" s="2" t="s">
        <v>18</v>
      </c>
      <c r="I63" s="2">
        <v>3.9</v>
      </c>
    </row>
    <row r="64" spans="1:9" x14ac:dyDescent="0.3">
      <c r="A64" s="2" t="s">
        <v>107</v>
      </c>
      <c r="B64" s="2" t="s">
        <v>23</v>
      </c>
      <c r="C64" s="2" t="s">
        <v>24</v>
      </c>
      <c r="D64" s="4">
        <v>15229.67</v>
      </c>
      <c r="E64" s="2">
        <v>3</v>
      </c>
      <c r="F64" s="4">
        <v>45689.01</v>
      </c>
      <c r="G64" s="3">
        <v>45494</v>
      </c>
      <c r="H64" s="2" t="s">
        <v>49</v>
      </c>
      <c r="I64" s="2">
        <v>2.7</v>
      </c>
    </row>
    <row r="65" spans="1:9" x14ac:dyDescent="0.3">
      <c r="A65" s="2" t="s">
        <v>108</v>
      </c>
      <c r="B65" s="2" t="s">
        <v>34</v>
      </c>
      <c r="C65" s="2" t="s">
        <v>27</v>
      </c>
      <c r="D65" s="4">
        <v>2158.12</v>
      </c>
      <c r="E65" s="2">
        <v>3</v>
      </c>
      <c r="F65" s="4">
        <v>6474.36</v>
      </c>
      <c r="G65" s="3">
        <v>45659</v>
      </c>
      <c r="H65" s="2" t="s">
        <v>44</v>
      </c>
      <c r="I65" s="2">
        <v>3.4</v>
      </c>
    </row>
    <row r="66" spans="1:9" x14ac:dyDescent="0.3">
      <c r="A66" s="2" t="s">
        <v>109</v>
      </c>
      <c r="B66" s="2" t="s">
        <v>42</v>
      </c>
      <c r="C66" s="2" t="s">
        <v>21</v>
      </c>
      <c r="D66" s="4">
        <v>11106.19</v>
      </c>
      <c r="E66" s="2">
        <v>2</v>
      </c>
      <c r="F66" s="4">
        <v>22212.38</v>
      </c>
      <c r="G66" s="3">
        <v>45648</v>
      </c>
      <c r="H66" s="2" t="s">
        <v>30</v>
      </c>
      <c r="I66" s="2">
        <v>1.1000000000000001</v>
      </c>
    </row>
    <row r="67" spans="1:9" x14ac:dyDescent="0.3">
      <c r="A67" s="2" t="s">
        <v>110</v>
      </c>
      <c r="B67" s="2" t="s">
        <v>12</v>
      </c>
      <c r="C67" s="2" t="s">
        <v>13</v>
      </c>
      <c r="D67" s="4">
        <v>21690.55</v>
      </c>
      <c r="E67" s="2">
        <v>2</v>
      </c>
      <c r="F67" s="4">
        <v>43381.1</v>
      </c>
      <c r="G67" s="3">
        <v>45624</v>
      </c>
      <c r="H67" s="2" t="s">
        <v>49</v>
      </c>
      <c r="I67" s="2">
        <v>1.9</v>
      </c>
    </row>
    <row r="68" spans="1:9" x14ac:dyDescent="0.3">
      <c r="A68" s="2" t="s">
        <v>111</v>
      </c>
      <c r="B68" s="2" t="s">
        <v>71</v>
      </c>
      <c r="C68" s="2" t="s">
        <v>21</v>
      </c>
      <c r="D68" s="4">
        <v>4225.6899999999996</v>
      </c>
      <c r="E68" s="2">
        <v>4</v>
      </c>
      <c r="F68" s="4">
        <v>16902.759999999998</v>
      </c>
      <c r="G68" s="3">
        <v>45418</v>
      </c>
      <c r="H68" s="2" t="s">
        <v>49</v>
      </c>
      <c r="I68" s="2">
        <v>2.5</v>
      </c>
    </row>
    <row r="69" spans="1:9" x14ac:dyDescent="0.3">
      <c r="A69" s="2" t="s">
        <v>112</v>
      </c>
      <c r="B69" s="2" t="s">
        <v>23</v>
      </c>
      <c r="C69" s="2" t="s">
        <v>24</v>
      </c>
      <c r="D69" s="4">
        <v>23621.02</v>
      </c>
      <c r="E69" s="2">
        <v>1</v>
      </c>
      <c r="F69" s="4">
        <v>23621.02</v>
      </c>
      <c r="G69" s="3">
        <v>45348</v>
      </c>
      <c r="H69" s="2" t="s">
        <v>30</v>
      </c>
      <c r="I69" s="2">
        <v>4.7</v>
      </c>
    </row>
    <row r="70" spans="1:9" x14ac:dyDescent="0.3">
      <c r="A70" s="2" t="s">
        <v>113</v>
      </c>
      <c r="B70" s="2" t="s">
        <v>12</v>
      </c>
      <c r="C70" s="2" t="s">
        <v>13</v>
      </c>
      <c r="D70" s="4">
        <v>38937.919999999998</v>
      </c>
      <c r="E70" s="2">
        <v>3</v>
      </c>
      <c r="F70" s="4">
        <v>116813.75999999999</v>
      </c>
      <c r="G70" s="3">
        <v>45390</v>
      </c>
      <c r="H70" s="2" t="s">
        <v>49</v>
      </c>
      <c r="I70" s="2">
        <v>3.4</v>
      </c>
    </row>
    <row r="71" spans="1:9" x14ac:dyDescent="0.3">
      <c r="A71" s="2" t="s">
        <v>114</v>
      </c>
      <c r="B71" s="2" t="s">
        <v>26</v>
      </c>
      <c r="C71" s="2" t="s">
        <v>27</v>
      </c>
      <c r="D71" s="4">
        <v>2707.97</v>
      </c>
      <c r="E71" s="2">
        <v>1</v>
      </c>
      <c r="F71" s="4">
        <v>2707.97</v>
      </c>
      <c r="G71" s="3">
        <v>45410</v>
      </c>
      <c r="H71" s="2" t="s">
        <v>58</v>
      </c>
      <c r="I71" s="2">
        <v>1.2</v>
      </c>
    </row>
    <row r="72" spans="1:9" x14ac:dyDescent="0.3">
      <c r="A72" s="2" t="s">
        <v>115</v>
      </c>
      <c r="B72" s="2" t="s">
        <v>20</v>
      </c>
      <c r="C72" s="2" t="s">
        <v>21</v>
      </c>
      <c r="D72" s="4">
        <v>23715.42</v>
      </c>
      <c r="E72" s="2">
        <v>4</v>
      </c>
      <c r="F72" s="4">
        <v>94861.68</v>
      </c>
      <c r="G72" s="3">
        <v>45375</v>
      </c>
      <c r="H72" s="2" t="s">
        <v>44</v>
      </c>
      <c r="I72" s="2">
        <v>2</v>
      </c>
    </row>
    <row r="73" spans="1:9" x14ac:dyDescent="0.3">
      <c r="A73" s="2" t="s">
        <v>116</v>
      </c>
      <c r="B73" s="2" t="s">
        <v>38</v>
      </c>
      <c r="C73" s="2" t="s">
        <v>24</v>
      </c>
      <c r="D73" s="4">
        <v>9083.5</v>
      </c>
      <c r="E73" s="2">
        <v>2</v>
      </c>
      <c r="F73" s="4">
        <v>18167</v>
      </c>
      <c r="G73" s="3">
        <v>45478</v>
      </c>
      <c r="H73" s="2" t="s">
        <v>18</v>
      </c>
      <c r="I73" s="2">
        <v>1.8</v>
      </c>
    </row>
    <row r="74" spans="1:9" x14ac:dyDescent="0.3">
      <c r="A74" s="2" t="s">
        <v>117</v>
      </c>
      <c r="B74" s="2" t="s">
        <v>42</v>
      </c>
      <c r="C74" s="2" t="s">
        <v>21</v>
      </c>
      <c r="D74" s="4">
        <v>26379.35</v>
      </c>
      <c r="E74" s="2">
        <v>4</v>
      </c>
      <c r="F74" s="4">
        <v>105517.4</v>
      </c>
      <c r="G74" s="3">
        <v>45542</v>
      </c>
      <c r="H74" s="2" t="s">
        <v>18</v>
      </c>
      <c r="I74" s="2">
        <v>3</v>
      </c>
    </row>
    <row r="75" spans="1:9" x14ac:dyDescent="0.3">
      <c r="A75" s="2" t="s">
        <v>118</v>
      </c>
      <c r="B75" s="2" t="s">
        <v>36</v>
      </c>
      <c r="C75" s="2" t="s">
        <v>17</v>
      </c>
      <c r="D75" s="4">
        <v>34023.96</v>
      </c>
      <c r="E75" s="2">
        <v>3</v>
      </c>
      <c r="F75" s="4">
        <v>102071.88</v>
      </c>
      <c r="G75" s="3">
        <v>45335</v>
      </c>
      <c r="H75" s="2" t="s">
        <v>49</v>
      </c>
      <c r="I75" s="2">
        <v>4.5999999999999996</v>
      </c>
    </row>
    <row r="76" spans="1:9" x14ac:dyDescent="0.3">
      <c r="A76" s="2" t="s">
        <v>119</v>
      </c>
      <c r="B76" s="2" t="s">
        <v>32</v>
      </c>
      <c r="C76" s="2" t="s">
        <v>17</v>
      </c>
      <c r="D76" s="4">
        <v>1542.1</v>
      </c>
      <c r="E76" s="2">
        <v>4</v>
      </c>
      <c r="F76" s="4">
        <v>6168.4</v>
      </c>
      <c r="G76" s="3">
        <v>45529</v>
      </c>
      <c r="H76" s="2" t="s">
        <v>49</v>
      </c>
      <c r="I76" s="2">
        <v>1</v>
      </c>
    </row>
    <row r="77" spans="1:9" x14ac:dyDescent="0.3">
      <c r="A77" s="2" t="s">
        <v>120</v>
      </c>
      <c r="B77" s="2" t="s">
        <v>95</v>
      </c>
      <c r="C77" s="2" t="s">
        <v>13</v>
      </c>
      <c r="D77" s="4">
        <v>42981.08</v>
      </c>
      <c r="E77" s="2">
        <v>3</v>
      </c>
      <c r="F77" s="4">
        <v>128943.24</v>
      </c>
      <c r="G77" s="3">
        <v>45376</v>
      </c>
      <c r="H77" s="2" t="s">
        <v>44</v>
      </c>
      <c r="I77" s="2">
        <v>3.8</v>
      </c>
    </row>
    <row r="78" spans="1:9" x14ac:dyDescent="0.3">
      <c r="A78" s="2" t="s">
        <v>121</v>
      </c>
      <c r="B78" s="2" t="s">
        <v>122</v>
      </c>
      <c r="C78" s="2" t="s">
        <v>27</v>
      </c>
      <c r="D78" s="4">
        <v>46338.29</v>
      </c>
      <c r="E78" s="2">
        <v>5</v>
      </c>
      <c r="F78" s="4">
        <v>231691.45</v>
      </c>
      <c r="G78" s="3">
        <v>45373</v>
      </c>
      <c r="H78" s="2" t="s">
        <v>44</v>
      </c>
      <c r="I78" s="2">
        <v>3.4</v>
      </c>
    </row>
    <row r="79" spans="1:9" x14ac:dyDescent="0.3">
      <c r="A79" s="2" t="s">
        <v>123</v>
      </c>
      <c r="B79" s="2" t="s">
        <v>84</v>
      </c>
      <c r="C79" s="2" t="s">
        <v>24</v>
      </c>
      <c r="D79" s="4">
        <v>34161.440000000002</v>
      </c>
      <c r="E79" s="2">
        <v>1</v>
      </c>
      <c r="F79" s="4">
        <v>34161.440000000002</v>
      </c>
      <c r="G79" s="3">
        <v>45473</v>
      </c>
      <c r="H79" s="2" t="s">
        <v>30</v>
      </c>
      <c r="I79" s="2">
        <v>2.4</v>
      </c>
    </row>
    <row r="80" spans="1:9" x14ac:dyDescent="0.3">
      <c r="A80" s="2" t="s">
        <v>124</v>
      </c>
      <c r="B80" s="2" t="s">
        <v>42</v>
      </c>
      <c r="C80" s="2" t="s">
        <v>21</v>
      </c>
      <c r="D80" s="4">
        <v>21317.31</v>
      </c>
      <c r="E80" s="2">
        <v>5</v>
      </c>
      <c r="F80" s="4">
        <v>106586.55</v>
      </c>
      <c r="G80" s="3">
        <v>45489</v>
      </c>
      <c r="H80" s="2" t="s">
        <v>49</v>
      </c>
      <c r="I80" s="2">
        <v>4</v>
      </c>
    </row>
    <row r="81" spans="1:9" x14ac:dyDescent="0.3">
      <c r="A81" s="2" t="s">
        <v>125</v>
      </c>
      <c r="B81" s="2" t="s">
        <v>20</v>
      </c>
      <c r="C81" s="2" t="s">
        <v>21</v>
      </c>
      <c r="D81" s="4">
        <v>46011.839999999997</v>
      </c>
      <c r="E81" s="2">
        <v>4</v>
      </c>
      <c r="F81" s="4">
        <v>184047.35999999999</v>
      </c>
      <c r="G81" s="3">
        <v>45413</v>
      </c>
      <c r="H81" s="2" t="s">
        <v>44</v>
      </c>
      <c r="I81" s="2">
        <v>3.3</v>
      </c>
    </row>
    <row r="82" spans="1:9" x14ac:dyDescent="0.3">
      <c r="A82" s="2" t="s">
        <v>126</v>
      </c>
      <c r="B82" s="2" t="s">
        <v>40</v>
      </c>
      <c r="C82" s="2" t="s">
        <v>21</v>
      </c>
      <c r="D82" s="4">
        <v>2097.9899999999998</v>
      </c>
      <c r="E82" s="2">
        <v>1</v>
      </c>
      <c r="F82" s="4">
        <v>2097.9899999999998</v>
      </c>
      <c r="G82" s="3">
        <v>45697</v>
      </c>
      <c r="H82" s="2" t="s">
        <v>14</v>
      </c>
      <c r="I82" s="2">
        <v>3.2</v>
      </c>
    </row>
    <row r="83" spans="1:9" x14ac:dyDescent="0.3">
      <c r="A83" s="2" t="s">
        <v>127</v>
      </c>
      <c r="B83" s="2" t="s">
        <v>46</v>
      </c>
      <c r="C83" s="2" t="s">
        <v>24</v>
      </c>
      <c r="D83" s="4">
        <v>17104.91</v>
      </c>
      <c r="E83" s="2">
        <v>3</v>
      </c>
      <c r="F83" s="4">
        <v>51314.73</v>
      </c>
      <c r="G83" s="3">
        <v>45636</v>
      </c>
      <c r="H83" s="2" t="s">
        <v>49</v>
      </c>
      <c r="I83" s="2">
        <v>2.7</v>
      </c>
    </row>
    <row r="84" spans="1:9" x14ac:dyDescent="0.3">
      <c r="A84" s="2" t="s">
        <v>128</v>
      </c>
      <c r="B84" s="2" t="s">
        <v>122</v>
      </c>
      <c r="C84" s="2" t="s">
        <v>27</v>
      </c>
      <c r="D84" s="4">
        <v>29326.6</v>
      </c>
      <c r="E84" s="2">
        <v>3</v>
      </c>
      <c r="F84" s="4">
        <v>87979.8</v>
      </c>
      <c r="G84" s="3">
        <v>45603</v>
      </c>
      <c r="H84" s="2" t="s">
        <v>49</v>
      </c>
      <c r="I84" s="2">
        <v>4.9000000000000004</v>
      </c>
    </row>
    <row r="85" spans="1:9" x14ac:dyDescent="0.3">
      <c r="A85" s="2" t="s">
        <v>129</v>
      </c>
      <c r="B85" s="2" t="s">
        <v>84</v>
      </c>
      <c r="C85" s="2" t="s">
        <v>24</v>
      </c>
      <c r="D85" s="4">
        <v>28892.73</v>
      </c>
      <c r="E85" s="2">
        <v>4</v>
      </c>
      <c r="F85" s="4">
        <v>115570.92</v>
      </c>
      <c r="G85" s="3">
        <v>45607</v>
      </c>
      <c r="H85" s="2" t="s">
        <v>44</v>
      </c>
      <c r="I85" s="2">
        <v>1.3</v>
      </c>
    </row>
    <row r="86" spans="1:9" x14ac:dyDescent="0.3">
      <c r="A86" s="2" t="s">
        <v>130</v>
      </c>
      <c r="B86" s="2" t="s">
        <v>38</v>
      </c>
      <c r="C86" s="2" t="s">
        <v>24</v>
      </c>
      <c r="D86" s="4">
        <v>35033.120000000003</v>
      </c>
      <c r="E86" s="2">
        <v>4</v>
      </c>
      <c r="F86" s="4">
        <v>140132.48000000001</v>
      </c>
      <c r="G86" s="3">
        <v>45629</v>
      </c>
      <c r="H86" s="2" t="s">
        <v>18</v>
      </c>
      <c r="I86" s="2">
        <v>4.7</v>
      </c>
    </row>
    <row r="87" spans="1:9" x14ac:dyDescent="0.3">
      <c r="A87" s="2" t="s">
        <v>131</v>
      </c>
      <c r="B87" s="2" t="s">
        <v>16</v>
      </c>
      <c r="C87" s="2" t="s">
        <v>17</v>
      </c>
      <c r="D87" s="4">
        <v>40069.300000000003</v>
      </c>
      <c r="E87" s="2">
        <v>3</v>
      </c>
      <c r="F87" s="4">
        <v>120207.9</v>
      </c>
      <c r="G87" s="3">
        <v>45592</v>
      </c>
      <c r="H87" s="2" t="s">
        <v>14</v>
      </c>
      <c r="I87" s="2">
        <v>2.4</v>
      </c>
    </row>
    <row r="88" spans="1:9" x14ac:dyDescent="0.3">
      <c r="A88" s="2" t="s">
        <v>132</v>
      </c>
      <c r="B88" s="2" t="s">
        <v>48</v>
      </c>
      <c r="C88" s="2" t="s">
        <v>13</v>
      </c>
      <c r="D88" s="4">
        <v>20613.14</v>
      </c>
      <c r="E88" s="2">
        <v>4</v>
      </c>
      <c r="F88" s="4">
        <v>82452.56</v>
      </c>
      <c r="G88" s="3">
        <v>45442</v>
      </c>
      <c r="H88" s="2" t="s">
        <v>18</v>
      </c>
      <c r="I88" s="2">
        <v>3.4</v>
      </c>
    </row>
    <row r="89" spans="1:9" x14ac:dyDescent="0.3">
      <c r="A89" s="2" t="s">
        <v>133</v>
      </c>
      <c r="B89" s="2" t="s">
        <v>26</v>
      </c>
      <c r="C89" s="2" t="s">
        <v>27</v>
      </c>
      <c r="D89" s="4">
        <v>3432</v>
      </c>
      <c r="E89" s="2">
        <v>5</v>
      </c>
      <c r="F89" s="4">
        <v>17160</v>
      </c>
      <c r="G89" s="3">
        <v>45394</v>
      </c>
      <c r="H89" s="2" t="s">
        <v>49</v>
      </c>
      <c r="I89" s="2">
        <v>3.4</v>
      </c>
    </row>
    <row r="90" spans="1:9" x14ac:dyDescent="0.3">
      <c r="A90" s="2" t="s">
        <v>134</v>
      </c>
      <c r="B90" s="2" t="s">
        <v>77</v>
      </c>
      <c r="C90" s="2" t="s">
        <v>21</v>
      </c>
      <c r="D90" s="4">
        <v>25752.65</v>
      </c>
      <c r="E90" s="2">
        <v>3</v>
      </c>
      <c r="F90" s="4">
        <v>77257.95</v>
      </c>
      <c r="G90" s="3">
        <v>45471</v>
      </c>
      <c r="H90" s="2" t="s">
        <v>58</v>
      </c>
      <c r="I90" s="2">
        <v>2.5</v>
      </c>
    </row>
    <row r="91" spans="1:9" x14ac:dyDescent="0.3">
      <c r="A91" s="2" t="s">
        <v>135</v>
      </c>
      <c r="B91" s="2" t="s">
        <v>23</v>
      </c>
      <c r="C91" s="2" t="s">
        <v>24</v>
      </c>
      <c r="D91" s="4">
        <v>30238.47</v>
      </c>
      <c r="E91" s="2">
        <v>2</v>
      </c>
      <c r="F91" s="4">
        <v>60476.94</v>
      </c>
      <c r="G91" s="3">
        <v>45559</v>
      </c>
      <c r="H91" s="2" t="s">
        <v>58</v>
      </c>
      <c r="I91" s="2">
        <v>4</v>
      </c>
    </row>
    <row r="92" spans="1:9" x14ac:dyDescent="0.3">
      <c r="A92" s="2" t="s">
        <v>136</v>
      </c>
      <c r="B92" s="2" t="s">
        <v>62</v>
      </c>
      <c r="C92" s="2" t="s">
        <v>27</v>
      </c>
      <c r="D92" s="4">
        <v>34293.379999999997</v>
      </c>
      <c r="E92" s="2">
        <v>4</v>
      </c>
      <c r="F92" s="4">
        <v>137173.51999999999</v>
      </c>
      <c r="G92" s="3">
        <v>45383</v>
      </c>
      <c r="H92" s="2" t="s">
        <v>58</v>
      </c>
      <c r="I92" s="2">
        <v>4.4000000000000004</v>
      </c>
    </row>
    <row r="93" spans="1:9" x14ac:dyDescent="0.3">
      <c r="A93" s="2" t="s">
        <v>137</v>
      </c>
      <c r="B93" s="2" t="s">
        <v>40</v>
      </c>
      <c r="C93" s="2" t="s">
        <v>21</v>
      </c>
      <c r="D93" s="4">
        <v>19498.32</v>
      </c>
      <c r="E93" s="2">
        <v>2</v>
      </c>
      <c r="F93" s="4">
        <v>38996.639999999999</v>
      </c>
      <c r="G93" s="3">
        <v>45619</v>
      </c>
      <c r="H93" s="2" t="s">
        <v>49</v>
      </c>
      <c r="I93" s="2">
        <v>3.6</v>
      </c>
    </row>
    <row r="94" spans="1:9" x14ac:dyDescent="0.3">
      <c r="A94" s="2" t="s">
        <v>138</v>
      </c>
      <c r="B94" s="2" t="s">
        <v>56</v>
      </c>
      <c r="C94" s="2" t="s">
        <v>17</v>
      </c>
      <c r="D94" s="4">
        <v>39355.589999999997</v>
      </c>
      <c r="E94" s="2">
        <v>1</v>
      </c>
      <c r="F94" s="4">
        <v>39355.589999999997</v>
      </c>
      <c r="G94" s="3">
        <v>45587</v>
      </c>
      <c r="H94" s="2" t="s">
        <v>30</v>
      </c>
      <c r="I94" s="2">
        <v>2.9</v>
      </c>
    </row>
    <row r="95" spans="1:9" x14ac:dyDescent="0.3">
      <c r="A95" s="2" t="s">
        <v>139</v>
      </c>
      <c r="B95" s="2" t="s">
        <v>52</v>
      </c>
      <c r="C95" s="2" t="s">
        <v>13</v>
      </c>
      <c r="D95" s="4">
        <v>26575.86</v>
      </c>
      <c r="E95" s="2">
        <v>2</v>
      </c>
      <c r="F95" s="4">
        <v>53151.72</v>
      </c>
      <c r="G95" s="3">
        <v>45435</v>
      </c>
      <c r="H95" s="2" t="s">
        <v>30</v>
      </c>
      <c r="I95" s="2">
        <v>2</v>
      </c>
    </row>
    <row r="96" spans="1:9" x14ac:dyDescent="0.3">
      <c r="A96" s="2" t="s">
        <v>140</v>
      </c>
      <c r="B96" s="2" t="s">
        <v>84</v>
      </c>
      <c r="C96" s="2" t="s">
        <v>24</v>
      </c>
      <c r="D96" s="4">
        <v>12506.31</v>
      </c>
      <c r="E96" s="2">
        <v>3</v>
      </c>
      <c r="F96" s="4">
        <v>37518.93</v>
      </c>
      <c r="G96" s="3">
        <v>45669</v>
      </c>
      <c r="H96" s="2" t="s">
        <v>18</v>
      </c>
      <c r="I96" s="2">
        <v>1.4</v>
      </c>
    </row>
    <row r="97" spans="1:9" x14ac:dyDescent="0.3">
      <c r="A97" s="2" t="s">
        <v>141</v>
      </c>
      <c r="B97" s="2" t="s">
        <v>56</v>
      </c>
      <c r="C97" s="2" t="s">
        <v>17</v>
      </c>
      <c r="D97" s="4">
        <v>19180.77</v>
      </c>
      <c r="E97" s="2">
        <v>3</v>
      </c>
      <c r="F97" s="4">
        <v>57542.31</v>
      </c>
      <c r="G97" s="3">
        <v>45685</v>
      </c>
      <c r="H97" s="2" t="s">
        <v>30</v>
      </c>
      <c r="I97" s="2">
        <v>3.9</v>
      </c>
    </row>
    <row r="98" spans="1:9" x14ac:dyDescent="0.3">
      <c r="A98" s="2" t="s">
        <v>142</v>
      </c>
      <c r="B98" s="2" t="s">
        <v>62</v>
      </c>
      <c r="C98" s="2" t="s">
        <v>27</v>
      </c>
      <c r="D98" s="4">
        <v>8877.51</v>
      </c>
      <c r="E98" s="2">
        <v>5</v>
      </c>
      <c r="F98" s="4">
        <v>44387.55</v>
      </c>
      <c r="G98" s="3">
        <v>45443</v>
      </c>
      <c r="H98" s="2" t="s">
        <v>18</v>
      </c>
      <c r="I98" s="2">
        <v>2.5</v>
      </c>
    </row>
    <row r="99" spans="1:9" x14ac:dyDescent="0.3">
      <c r="A99" s="2" t="s">
        <v>143</v>
      </c>
      <c r="B99" s="2" t="s">
        <v>32</v>
      </c>
      <c r="C99" s="2" t="s">
        <v>17</v>
      </c>
      <c r="D99" s="4">
        <v>32348.92</v>
      </c>
      <c r="E99" s="2">
        <v>2</v>
      </c>
      <c r="F99" s="4">
        <v>64697.84</v>
      </c>
      <c r="G99" s="3">
        <v>45690</v>
      </c>
      <c r="H99" s="2" t="s">
        <v>49</v>
      </c>
      <c r="I99" s="2">
        <v>3.1</v>
      </c>
    </row>
    <row r="100" spans="1:9" x14ac:dyDescent="0.3">
      <c r="A100" s="2" t="s">
        <v>144</v>
      </c>
      <c r="B100" s="2" t="s">
        <v>23</v>
      </c>
      <c r="C100" s="2" t="s">
        <v>24</v>
      </c>
      <c r="D100" s="4">
        <v>19375.759999999998</v>
      </c>
      <c r="E100" s="2">
        <v>2</v>
      </c>
      <c r="F100" s="4">
        <v>38751.519999999997</v>
      </c>
      <c r="G100" s="3">
        <v>45632</v>
      </c>
      <c r="H100" s="2" t="s">
        <v>49</v>
      </c>
      <c r="I100" s="2">
        <v>2.1</v>
      </c>
    </row>
    <row r="101" spans="1:9" x14ac:dyDescent="0.3">
      <c r="A101" s="2" t="s">
        <v>145</v>
      </c>
      <c r="B101" s="2" t="s">
        <v>12</v>
      </c>
      <c r="C101" s="2" t="s">
        <v>13</v>
      </c>
      <c r="D101" s="4">
        <v>48157.93</v>
      </c>
      <c r="E101" s="2">
        <v>1</v>
      </c>
      <c r="F101" s="4">
        <v>48157.93</v>
      </c>
      <c r="G101" s="3">
        <v>45540</v>
      </c>
      <c r="H101" s="2" t="s">
        <v>44</v>
      </c>
      <c r="I101" s="2">
        <v>2.4</v>
      </c>
    </row>
    <row r="102" spans="1:9" x14ac:dyDescent="0.3">
      <c r="A102" s="2" t="s">
        <v>146</v>
      </c>
      <c r="B102" s="2" t="s">
        <v>73</v>
      </c>
      <c r="C102" s="2" t="s">
        <v>24</v>
      </c>
      <c r="D102" s="4">
        <v>4360.05</v>
      </c>
      <c r="E102" s="2">
        <v>4</v>
      </c>
      <c r="F102" s="4">
        <v>17440.2</v>
      </c>
      <c r="G102" s="3">
        <v>45675</v>
      </c>
      <c r="H102" s="2" t="s">
        <v>30</v>
      </c>
      <c r="I102" s="2">
        <v>3.3</v>
      </c>
    </row>
    <row r="103" spans="1:9" x14ac:dyDescent="0.3">
      <c r="A103" s="2" t="s">
        <v>147</v>
      </c>
      <c r="B103" s="2" t="s">
        <v>36</v>
      </c>
      <c r="C103" s="2" t="s">
        <v>17</v>
      </c>
      <c r="D103" s="4">
        <v>38093.14</v>
      </c>
      <c r="E103" s="2">
        <v>1</v>
      </c>
      <c r="F103" s="4">
        <v>38093.14</v>
      </c>
      <c r="G103" s="3">
        <v>45587</v>
      </c>
      <c r="H103" s="2" t="s">
        <v>49</v>
      </c>
      <c r="I103" s="2">
        <v>3</v>
      </c>
    </row>
    <row r="104" spans="1:9" x14ac:dyDescent="0.3">
      <c r="A104" s="2" t="s">
        <v>148</v>
      </c>
      <c r="B104" s="2" t="s">
        <v>12</v>
      </c>
      <c r="C104" s="2" t="s">
        <v>13</v>
      </c>
      <c r="D104" s="4">
        <v>32788.199999999997</v>
      </c>
      <c r="E104" s="2">
        <v>5</v>
      </c>
      <c r="F104" s="4">
        <v>163941</v>
      </c>
      <c r="G104" s="3">
        <v>45480</v>
      </c>
      <c r="H104" s="2" t="s">
        <v>49</v>
      </c>
      <c r="I104" s="2">
        <v>4</v>
      </c>
    </row>
    <row r="105" spans="1:9" x14ac:dyDescent="0.3">
      <c r="A105" s="2" t="s">
        <v>149</v>
      </c>
      <c r="B105" s="2" t="s">
        <v>48</v>
      </c>
      <c r="C105" s="2" t="s">
        <v>13</v>
      </c>
      <c r="D105" s="4">
        <v>42715.55</v>
      </c>
      <c r="E105" s="2">
        <v>1</v>
      </c>
      <c r="F105" s="4">
        <v>42715.55</v>
      </c>
      <c r="G105" s="3">
        <v>45487</v>
      </c>
      <c r="H105" s="2" t="s">
        <v>49</v>
      </c>
      <c r="I105" s="2">
        <v>4.4000000000000004</v>
      </c>
    </row>
    <row r="106" spans="1:9" x14ac:dyDescent="0.3">
      <c r="A106" s="2" t="s">
        <v>150</v>
      </c>
      <c r="B106" s="2" t="s">
        <v>40</v>
      </c>
      <c r="C106" s="2" t="s">
        <v>21</v>
      </c>
      <c r="D106" s="4">
        <v>28758.42</v>
      </c>
      <c r="E106" s="2">
        <v>5</v>
      </c>
      <c r="F106" s="4">
        <v>143792.1</v>
      </c>
      <c r="G106" s="3">
        <v>45557</v>
      </c>
      <c r="H106" s="2" t="s">
        <v>58</v>
      </c>
      <c r="I106" s="2">
        <v>3.7</v>
      </c>
    </row>
    <row r="107" spans="1:9" x14ac:dyDescent="0.3">
      <c r="A107" s="2" t="s">
        <v>151</v>
      </c>
      <c r="B107" s="2" t="s">
        <v>12</v>
      </c>
      <c r="C107" s="2" t="s">
        <v>13</v>
      </c>
      <c r="D107" s="4">
        <v>22555.21</v>
      </c>
      <c r="E107" s="2">
        <v>2</v>
      </c>
      <c r="F107" s="4">
        <v>45110.42</v>
      </c>
      <c r="G107" s="3">
        <v>45422</v>
      </c>
      <c r="H107" s="2" t="s">
        <v>18</v>
      </c>
      <c r="I107" s="2">
        <v>4.3</v>
      </c>
    </row>
    <row r="108" spans="1:9" x14ac:dyDescent="0.3">
      <c r="A108" s="2" t="s">
        <v>152</v>
      </c>
      <c r="B108" s="2" t="s">
        <v>153</v>
      </c>
      <c r="C108" s="2" t="s">
        <v>17</v>
      </c>
      <c r="D108" s="4">
        <v>33613.18</v>
      </c>
      <c r="E108" s="2">
        <v>1</v>
      </c>
      <c r="F108" s="4">
        <v>33613.18</v>
      </c>
      <c r="G108" s="3">
        <v>45528</v>
      </c>
      <c r="H108" s="2" t="s">
        <v>30</v>
      </c>
      <c r="I108" s="2">
        <v>3.5</v>
      </c>
    </row>
    <row r="109" spans="1:9" x14ac:dyDescent="0.3">
      <c r="A109" s="2" t="s">
        <v>154</v>
      </c>
      <c r="B109" s="2" t="s">
        <v>56</v>
      </c>
      <c r="C109" s="2" t="s">
        <v>17</v>
      </c>
      <c r="D109" s="4">
        <v>44639</v>
      </c>
      <c r="E109" s="2">
        <v>5</v>
      </c>
      <c r="F109" s="4">
        <v>223195</v>
      </c>
      <c r="G109" s="3">
        <v>45416</v>
      </c>
      <c r="H109" s="2" t="s">
        <v>49</v>
      </c>
      <c r="I109" s="2">
        <v>1.1000000000000001</v>
      </c>
    </row>
    <row r="110" spans="1:9" x14ac:dyDescent="0.3">
      <c r="A110" s="2" t="s">
        <v>155</v>
      </c>
      <c r="B110" s="2" t="s">
        <v>16</v>
      </c>
      <c r="C110" s="2" t="s">
        <v>17</v>
      </c>
      <c r="D110" s="4">
        <v>11785.4</v>
      </c>
      <c r="E110" s="2">
        <v>5</v>
      </c>
      <c r="F110" s="4">
        <v>58927</v>
      </c>
      <c r="G110" s="3">
        <v>45468</v>
      </c>
      <c r="H110" s="2" t="s">
        <v>30</v>
      </c>
      <c r="I110" s="2">
        <v>1.6</v>
      </c>
    </row>
    <row r="111" spans="1:9" x14ac:dyDescent="0.3">
      <c r="A111" s="2" t="s">
        <v>156</v>
      </c>
      <c r="B111" s="2" t="s">
        <v>102</v>
      </c>
      <c r="C111" s="2" t="s">
        <v>13</v>
      </c>
      <c r="D111" s="4">
        <v>30826.720000000001</v>
      </c>
      <c r="E111" s="2">
        <v>1</v>
      </c>
      <c r="F111" s="4">
        <v>30826.720000000001</v>
      </c>
      <c r="G111" s="3">
        <v>45508</v>
      </c>
      <c r="H111" s="2" t="s">
        <v>18</v>
      </c>
      <c r="I111" s="2">
        <v>3.9</v>
      </c>
    </row>
    <row r="112" spans="1:9" x14ac:dyDescent="0.3">
      <c r="A112" s="2" t="s">
        <v>157</v>
      </c>
      <c r="B112" s="2" t="s">
        <v>36</v>
      </c>
      <c r="C112" s="2" t="s">
        <v>17</v>
      </c>
      <c r="D112" s="4">
        <v>35811.1</v>
      </c>
      <c r="E112" s="2">
        <v>4</v>
      </c>
      <c r="F112" s="4">
        <v>143244.4</v>
      </c>
      <c r="G112" s="3">
        <v>45546</v>
      </c>
      <c r="H112" s="2" t="s">
        <v>58</v>
      </c>
      <c r="I112" s="2">
        <v>1.9</v>
      </c>
    </row>
    <row r="113" spans="1:9" x14ac:dyDescent="0.3">
      <c r="A113" s="2" t="s">
        <v>158</v>
      </c>
      <c r="B113" s="2" t="s">
        <v>77</v>
      </c>
      <c r="C113" s="2" t="s">
        <v>21</v>
      </c>
      <c r="D113" s="4">
        <v>45387.99</v>
      </c>
      <c r="E113" s="2">
        <v>3</v>
      </c>
      <c r="F113" s="4">
        <v>136163.97</v>
      </c>
      <c r="G113" s="3">
        <v>45649</v>
      </c>
      <c r="H113" s="2" t="s">
        <v>44</v>
      </c>
      <c r="I113" s="2">
        <v>4.8</v>
      </c>
    </row>
    <row r="114" spans="1:9" x14ac:dyDescent="0.3">
      <c r="A114" s="2" t="s">
        <v>159</v>
      </c>
      <c r="B114" s="2" t="s">
        <v>122</v>
      </c>
      <c r="C114" s="2" t="s">
        <v>27</v>
      </c>
      <c r="D114" s="4">
        <v>39263.94</v>
      </c>
      <c r="E114" s="2">
        <v>5</v>
      </c>
      <c r="F114" s="4">
        <v>196319.7</v>
      </c>
      <c r="G114" s="3">
        <v>45509</v>
      </c>
      <c r="H114" s="2" t="s">
        <v>30</v>
      </c>
      <c r="I114" s="2">
        <v>3.8</v>
      </c>
    </row>
    <row r="115" spans="1:9" x14ac:dyDescent="0.3">
      <c r="A115" s="2" t="s">
        <v>160</v>
      </c>
      <c r="B115" s="2" t="s">
        <v>12</v>
      </c>
      <c r="C115" s="2" t="s">
        <v>13</v>
      </c>
      <c r="D115" s="4">
        <v>19787.61</v>
      </c>
      <c r="E115" s="2">
        <v>1</v>
      </c>
      <c r="F115" s="4">
        <v>19787.61</v>
      </c>
      <c r="G115" s="3">
        <v>45572</v>
      </c>
      <c r="H115" s="2" t="s">
        <v>14</v>
      </c>
      <c r="I115" s="2">
        <v>3.9</v>
      </c>
    </row>
    <row r="116" spans="1:9" x14ac:dyDescent="0.3">
      <c r="A116" s="2" t="s">
        <v>161</v>
      </c>
      <c r="B116" s="2" t="s">
        <v>36</v>
      </c>
      <c r="C116" s="2" t="s">
        <v>17</v>
      </c>
      <c r="D116" s="4">
        <v>26219.99</v>
      </c>
      <c r="E116" s="2">
        <v>4</v>
      </c>
      <c r="F116" s="4">
        <v>104879.96</v>
      </c>
      <c r="G116" s="3">
        <v>45365</v>
      </c>
      <c r="H116" s="2" t="s">
        <v>14</v>
      </c>
      <c r="I116" s="2">
        <v>2.1</v>
      </c>
    </row>
    <row r="117" spans="1:9" x14ac:dyDescent="0.3">
      <c r="A117" s="2" t="s">
        <v>162</v>
      </c>
      <c r="B117" s="2" t="s">
        <v>42</v>
      </c>
      <c r="C117" s="2" t="s">
        <v>21</v>
      </c>
      <c r="D117" s="4">
        <v>14286.02</v>
      </c>
      <c r="E117" s="2">
        <v>4</v>
      </c>
      <c r="F117" s="4">
        <v>57144.08</v>
      </c>
      <c r="G117" s="3">
        <v>45437</v>
      </c>
      <c r="H117" s="2" t="s">
        <v>18</v>
      </c>
      <c r="I117" s="2">
        <v>3.7</v>
      </c>
    </row>
    <row r="118" spans="1:9" x14ac:dyDescent="0.3">
      <c r="A118" s="2" t="s">
        <v>163</v>
      </c>
      <c r="B118" s="2" t="s">
        <v>56</v>
      </c>
      <c r="C118" s="2" t="s">
        <v>17</v>
      </c>
      <c r="D118" s="4">
        <v>13019.07</v>
      </c>
      <c r="E118" s="2">
        <v>3</v>
      </c>
      <c r="F118" s="4">
        <v>39057.21</v>
      </c>
      <c r="G118" s="3">
        <v>45690</v>
      </c>
      <c r="H118" s="2" t="s">
        <v>49</v>
      </c>
      <c r="I118" s="2">
        <v>2.8</v>
      </c>
    </row>
    <row r="119" spans="1:9" x14ac:dyDescent="0.3">
      <c r="A119" s="2" t="s">
        <v>164</v>
      </c>
      <c r="B119" s="2" t="s">
        <v>20</v>
      </c>
      <c r="C119" s="2" t="s">
        <v>21</v>
      </c>
      <c r="D119" s="4">
        <v>43488.42</v>
      </c>
      <c r="E119" s="2">
        <v>3</v>
      </c>
      <c r="F119" s="4">
        <v>130465.26</v>
      </c>
      <c r="G119" s="3">
        <v>45491</v>
      </c>
      <c r="H119" s="2" t="s">
        <v>58</v>
      </c>
      <c r="I119" s="2">
        <v>3</v>
      </c>
    </row>
    <row r="120" spans="1:9" x14ac:dyDescent="0.3">
      <c r="A120" s="2" t="s">
        <v>165</v>
      </c>
      <c r="B120" s="2" t="s">
        <v>52</v>
      </c>
      <c r="C120" s="2" t="s">
        <v>13</v>
      </c>
      <c r="D120" s="4">
        <v>30903.49</v>
      </c>
      <c r="E120" s="2">
        <v>4</v>
      </c>
      <c r="F120" s="4">
        <v>123613.96</v>
      </c>
      <c r="G120" s="3">
        <v>45545</v>
      </c>
      <c r="H120" s="2" t="s">
        <v>58</v>
      </c>
      <c r="I120" s="2">
        <v>1.7</v>
      </c>
    </row>
    <row r="121" spans="1:9" x14ac:dyDescent="0.3">
      <c r="A121" s="2" t="s">
        <v>166</v>
      </c>
      <c r="B121" s="2" t="s">
        <v>34</v>
      </c>
      <c r="C121" s="2" t="s">
        <v>27</v>
      </c>
      <c r="D121" s="4">
        <v>37405.46</v>
      </c>
      <c r="E121" s="2">
        <v>4</v>
      </c>
      <c r="F121" s="4">
        <v>149621.84</v>
      </c>
      <c r="G121" s="3">
        <v>45672</v>
      </c>
      <c r="H121" s="2" t="s">
        <v>30</v>
      </c>
      <c r="I121" s="2">
        <v>1.3</v>
      </c>
    </row>
    <row r="122" spans="1:9" x14ac:dyDescent="0.3">
      <c r="A122" s="2" t="s">
        <v>167</v>
      </c>
      <c r="B122" s="2" t="s">
        <v>38</v>
      </c>
      <c r="C122" s="2" t="s">
        <v>24</v>
      </c>
      <c r="D122" s="4">
        <v>30593.67</v>
      </c>
      <c r="E122" s="2">
        <v>4</v>
      </c>
      <c r="F122" s="4">
        <v>122374.68</v>
      </c>
      <c r="G122" s="3">
        <v>45430</v>
      </c>
      <c r="H122" s="2" t="s">
        <v>44</v>
      </c>
      <c r="I122" s="2">
        <v>1.5</v>
      </c>
    </row>
    <row r="123" spans="1:9" x14ac:dyDescent="0.3">
      <c r="A123" s="2" t="s">
        <v>168</v>
      </c>
      <c r="B123" s="2" t="s">
        <v>84</v>
      </c>
      <c r="C123" s="2" t="s">
        <v>24</v>
      </c>
      <c r="D123" s="4">
        <v>28688.25</v>
      </c>
      <c r="E123" s="2">
        <v>3</v>
      </c>
      <c r="F123" s="4">
        <v>86064.75</v>
      </c>
      <c r="G123" s="3">
        <v>45439</v>
      </c>
      <c r="H123" s="2" t="s">
        <v>18</v>
      </c>
      <c r="I123" s="2">
        <v>2.4</v>
      </c>
    </row>
    <row r="124" spans="1:9" x14ac:dyDescent="0.3">
      <c r="A124" s="2" t="s">
        <v>169</v>
      </c>
      <c r="B124" s="2" t="s">
        <v>71</v>
      </c>
      <c r="C124" s="2" t="s">
        <v>21</v>
      </c>
      <c r="D124" s="4">
        <v>12158.96</v>
      </c>
      <c r="E124" s="2">
        <v>3</v>
      </c>
      <c r="F124" s="4">
        <v>36476.879999999997</v>
      </c>
      <c r="G124" s="3">
        <v>45372</v>
      </c>
      <c r="H124" s="2" t="s">
        <v>58</v>
      </c>
      <c r="I124" s="2">
        <v>1.1000000000000001</v>
      </c>
    </row>
    <row r="125" spans="1:9" x14ac:dyDescent="0.3">
      <c r="A125" s="2" t="s">
        <v>170</v>
      </c>
      <c r="B125" s="2" t="s">
        <v>84</v>
      </c>
      <c r="C125" s="2" t="s">
        <v>24</v>
      </c>
      <c r="D125" s="4">
        <v>24500.05</v>
      </c>
      <c r="E125" s="2">
        <v>3</v>
      </c>
      <c r="F125" s="4">
        <v>73500.149999999994</v>
      </c>
      <c r="G125" s="3">
        <v>45403</v>
      </c>
      <c r="H125" s="2" t="s">
        <v>49</v>
      </c>
      <c r="I125" s="2">
        <v>4.4000000000000004</v>
      </c>
    </row>
    <row r="126" spans="1:9" x14ac:dyDescent="0.3">
      <c r="A126" s="2" t="s">
        <v>171</v>
      </c>
      <c r="B126" s="2" t="s">
        <v>34</v>
      </c>
      <c r="C126" s="2" t="s">
        <v>27</v>
      </c>
      <c r="D126" s="4">
        <v>44412.88</v>
      </c>
      <c r="E126" s="2">
        <v>3</v>
      </c>
      <c r="F126" s="4">
        <v>133238.64000000001</v>
      </c>
      <c r="G126" s="3">
        <v>45548</v>
      </c>
      <c r="H126" s="2" t="s">
        <v>44</v>
      </c>
      <c r="I126" s="2">
        <v>1.4</v>
      </c>
    </row>
    <row r="127" spans="1:9" x14ac:dyDescent="0.3">
      <c r="A127" s="2" t="s">
        <v>172</v>
      </c>
      <c r="B127" s="2" t="s">
        <v>46</v>
      </c>
      <c r="C127" s="2" t="s">
        <v>24</v>
      </c>
      <c r="D127" s="4">
        <v>26615.97</v>
      </c>
      <c r="E127" s="2">
        <v>3</v>
      </c>
      <c r="F127" s="4">
        <v>79847.91</v>
      </c>
      <c r="G127" s="3">
        <v>45530</v>
      </c>
      <c r="H127" s="2" t="s">
        <v>58</v>
      </c>
      <c r="I127" s="2">
        <v>3.6</v>
      </c>
    </row>
    <row r="128" spans="1:9" x14ac:dyDescent="0.3">
      <c r="A128" s="2" t="s">
        <v>173</v>
      </c>
      <c r="B128" s="2" t="s">
        <v>36</v>
      </c>
      <c r="C128" s="2" t="s">
        <v>17</v>
      </c>
      <c r="D128" s="4">
        <v>3979.4</v>
      </c>
      <c r="E128" s="2">
        <v>1</v>
      </c>
      <c r="F128" s="4">
        <v>3979.4</v>
      </c>
      <c r="G128" s="3">
        <v>45567</v>
      </c>
      <c r="H128" s="2" t="s">
        <v>14</v>
      </c>
      <c r="I128" s="2">
        <v>4.5999999999999996</v>
      </c>
    </row>
    <row r="129" spans="1:9" x14ac:dyDescent="0.3">
      <c r="A129" s="2" t="s">
        <v>174</v>
      </c>
      <c r="B129" s="2" t="s">
        <v>40</v>
      </c>
      <c r="C129" s="2" t="s">
        <v>21</v>
      </c>
      <c r="D129" s="4">
        <v>49687.49</v>
      </c>
      <c r="E129" s="2">
        <v>2</v>
      </c>
      <c r="F129" s="4">
        <v>99374.98</v>
      </c>
      <c r="G129" s="3">
        <v>45414</v>
      </c>
      <c r="H129" s="2" t="s">
        <v>18</v>
      </c>
      <c r="I129" s="2">
        <v>2.5</v>
      </c>
    </row>
    <row r="130" spans="1:9" x14ac:dyDescent="0.3">
      <c r="A130" s="2" t="s">
        <v>175</v>
      </c>
      <c r="B130" s="2" t="s">
        <v>73</v>
      </c>
      <c r="C130" s="2" t="s">
        <v>24</v>
      </c>
      <c r="D130" s="4">
        <v>11289.42</v>
      </c>
      <c r="E130" s="2">
        <v>3</v>
      </c>
      <c r="F130" s="4">
        <v>33868.26</v>
      </c>
      <c r="G130" s="3">
        <v>45514</v>
      </c>
      <c r="H130" s="2" t="s">
        <v>18</v>
      </c>
      <c r="I130" s="2">
        <v>2.2999999999999998</v>
      </c>
    </row>
    <row r="131" spans="1:9" x14ac:dyDescent="0.3">
      <c r="A131" s="2" t="s">
        <v>176</v>
      </c>
      <c r="B131" s="2" t="s">
        <v>153</v>
      </c>
      <c r="C131" s="2" t="s">
        <v>17</v>
      </c>
      <c r="D131" s="4">
        <v>27309.73</v>
      </c>
      <c r="E131" s="2">
        <v>3</v>
      </c>
      <c r="F131" s="4">
        <v>81929.19</v>
      </c>
      <c r="G131" s="3">
        <v>45460</v>
      </c>
      <c r="H131" s="2" t="s">
        <v>58</v>
      </c>
      <c r="I131" s="2">
        <v>4</v>
      </c>
    </row>
    <row r="132" spans="1:9" x14ac:dyDescent="0.3">
      <c r="A132" s="2" t="s">
        <v>177</v>
      </c>
      <c r="B132" s="2" t="s">
        <v>73</v>
      </c>
      <c r="C132" s="2" t="s">
        <v>24</v>
      </c>
      <c r="D132" s="4">
        <v>30374.400000000001</v>
      </c>
      <c r="E132" s="2">
        <v>5</v>
      </c>
      <c r="F132" s="4">
        <v>151872</v>
      </c>
      <c r="G132" s="3">
        <v>45668</v>
      </c>
      <c r="H132" s="2" t="s">
        <v>58</v>
      </c>
      <c r="I132" s="2">
        <v>1.8</v>
      </c>
    </row>
    <row r="133" spans="1:9" x14ac:dyDescent="0.3">
      <c r="A133" s="2" t="s">
        <v>178</v>
      </c>
      <c r="B133" s="2" t="s">
        <v>77</v>
      </c>
      <c r="C133" s="2" t="s">
        <v>21</v>
      </c>
      <c r="D133" s="4">
        <v>15486.41</v>
      </c>
      <c r="E133" s="2">
        <v>4</v>
      </c>
      <c r="F133" s="4">
        <v>61945.64</v>
      </c>
      <c r="G133" s="3">
        <v>45402</v>
      </c>
      <c r="H133" s="2" t="s">
        <v>44</v>
      </c>
      <c r="I133" s="2">
        <v>5</v>
      </c>
    </row>
    <row r="134" spans="1:9" x14ac:dyDescent="0.3">
      <c r="A134" s="2" t="s">
        <v>179</v>
      </c>
      <c r="B134" s="2" t="s">
        <v>23</v>
      </c>
      <c r="C134" s="2" t="s">
        <v>24</v>
      </c>
      <c r="D134" s="4">
        <v>33698.339999999997</v>
      </c>
      <c r="E134" s="2">
        <v>1</v>
      </c>
      <c r="F134" s="4">
        <v>33698.339999999997</v>
      </c>
      <c r="G134" s="3">
        <v>45514</v>
      </c>
      <c r="H134" s="2" t="s">
        <v>14</v>
      </c>
      <c r="I134" s="2">
        <v>4.2</v>
      </c>
    </row>
    <row r="135" spans="1:9" x14ac:dyDescent="0.3">
      <c r="A135" s="2" t="s">
        <v>180</v>
      </c>
      <c r="B135" s="2" t="s">
        <v>153</v>
      </c>
      <c r="C135" s="2" t="s">
        <v>17</v>
      </c>
      <c r="D135" s="4">
        <v>42987.64</v>
      </c>
      <c r="E135" s="2">
        <v>5</v>
      </c>
      <c r="F135" s="4">
        <v>214938.2</v>
      </c>
      <c r="G135" s="3">
        <v>45381</v>
      </c>
      <c r="H135" s="2" t="s">
        <v>30</v>
      </c>
      <c r="I135" s="2">
        <v>3.7</v>
      </c>
    </row>
    <row r="136" spans="1:9" x14ac:dyDescent="0.3">
      <c r="A136" s="2" t="s">
        <v>181</v>
      </c>
      <c r="B136" s="2" t="s">
        <v>23</v>
      </c>
      <c r="C136" s="2" t="s">
        <v>24</v>
      </c>
      <c r="D136" s="4">
        <v>1104.25</v>
      </c>
      <c r="E136" s="2">
        <v>5</v>
      </c>
      <c r="F136" s="4">
        <v>5521.25</v>
      </c>
      <c r="G136" s="3">
        <v>45624</v>
      </c>
      <c r="H136" s="2" t="s">
        <v>18</v>
      </c>
      <c r="I136" s="2">
        <v>3.8</v>
      </c>
    </row>
    <row r="137" spans="1:9" x14ac:dyDescent="0.3">
      <c r="A137" s="2" t="s">
        <v>182</v>
      </c>
      <c r="B137" s="2" t="s">
        <v>36</v>
      </c>
      <c r="C137" s="2" t="s">
        <v>17</v>
      </c>
      <c r="D137" s="4">
        <v>14043.16</v>
      </c>
      <c r="E137" s="2">
        <v>4</v>
      </c>
      <c r="F137" s="4">
        <v>56172.639999999999</v>
      </c>
      <c r="G137" s="3">
        <v>45444</v>
      </c>
      <c r="H137" s="2" t="s">
        <v>30</v>
      </c>
      <c r="I137" s="2">
        <v>3.1</v>
      </c>
    </row>
    <row r="138" spans="1:9" x14ac:dyDescent="0.3">
      <c r="A138" s="2" t="s">
        <v>183</v>
      </c>
      <c r="B138" s="2" t="s">
        <v>52</v>
      </c>
      <c r="C138" s="2" t="s">
        <v>13</v>
      </c>
      <c r="D138" s="4">
        <v>24032.880000000001</v>
      </c>
      <c r="E138" s="2">
        <v>1</v>
      </c>
      <c r="F138" s="4">
        <v>24032.880000000001</v>
      </c>
      <c r="G138" s="3">
        <v>45593</v>
      </c>
      <c r="H138" s="2" t="s">
        <v>30</v>
      </c>
      <c r="I138" s="2">
        <v>3.8</v>
      </c>
    </row>
    <row r="139" spans="1:9" x14ac:dyDescent="0.3">
      <c r="A139" s="2" t="s">
        <v>184</v>
      </c>
      <c r="B139" s="2" t="s">
        <v>20</v>
      </c>
      <c r="C139" s="2" t="s">
        <v>21</v>
      </c>
      <c r="D139" s="4">
        <v>32283.58</v>
      </c>
      <c r="E139" s="2">
        <v>3</v>
      </c>
      <c r="F139" s="4">
        <v>96850.74</v>
      </c>
      <c r="G139" s="3">
        <v>45659</v>
      </c>
      <c r="H139" s="2" t="s">
        <v>44</v>
      </c>
      <c r="I139" s="2">
        <v>4.4000000000000004</v>
      </c>
    </row>
    <row r="140" spans="1:9" x14ac:dyDescent="0.3">
      <c r="A140" s="2" t="s">
        <v>185</v>
      </c>
      <c r="B140" s="2" t="s">
        <v>42</v>
      </c>
      <c r="C140" s="2" t="s">
        <v>21</v>
      </c>
      <c r="D140" s="4">
        <v>3848.54</v>
      </c>
      <c r="E140" s="2">
        <v>1</v>
      </c>
      <c r="F140" s="4">
        <v>3848.54</v>
      </c>
      <c r="G140" s="3">
        <v>45691</v>
      </c>
      <c r="H140" s="2" t="s">
        <v>58</v>
      </c>
      <c r="I140" s="2">
        <v>4.5999999999999996</v>
      </c>
    </row>
    <row r="141" spans="1:9" x14ac:dyDescent="0.3">
      <c r="A141" s="2" t="s">
        <v>186</v>
      </c>
      <c r="B141" s="2" t="s">
        <v>26</v>
      </c>
      <c r="C141" s="2" t="s">
        <v>27</v>
      </c>
      <c r="D141" s="4">
        <v>48175.48</v>
      </c>
      <c r="E141" s="2">
        <v>1</v>
      </c>
      <c r="F141" s="4">
        <v>48175.48</v>
      </c>
      <c r="G141" s="3">
        <v>45483</v>
      </c>
      <c r="H141" s="2" t="s">
        <v>44</v>
      </c>
      <c r="I141" s="2">
        <v>1.5</v>
      </c>
    </row>
    <row r="142" spans="1:9" x14ac:dyDescent="0.3">
      <c r="A142" s="2" t="s">
        <v>187</v>
      </c>
      <c r="B142" s="2" t="s">
        <v>38</v>
      </c>
      <c r="C142" s="2" t="s">
        <v>24</v>
      </c>
      <c r="D142" s="4">
        <v>2273.0100000000002</v>
      </c>
      <c r="E142" s="2">
        <v>2</v>
      </c>
      <c r="F142" s="4">
        <v>4546.0200000000004</v>
      </c>
      <c r="G142" s="3">
        <v>45658</v>
      </c>
      <c r="H142" s="2" t="s">
        <v>18</v>
      </c>
      <c r="I142" s="2">
        <v>4.3</v>
      </c>
    </row>
    <row r="143" spans="1:9" x14ac:dyDescent="0.3">
      <c r="A143" s="2" t="s">
        <v>188</v>
      </c>
      <c r="B143" s="2" t="s">
        <v>36</v>
      </c>
      <c r="C143" s="2" t="s">
        <v>17</v>
      </c>
      <c r="D143" s="4">
        <v>48346.41</v>
      </c>
      <c r="E143" s="2">
        <v>3</v>
      </c>
      <c r="F143" s="4">
        <v>145039.23000000001</v>
      </c>
      <c r="G143" s="3">
        <v>45684</v>
      </c>
      <c r="H143" s="2" t="s">
        <v>14</v>
      </c>
      <c r="I143" s="2">
        <v>1.4</v>
      </c>
    </row>
    <row r="144" spans="1:9" x14ac:dyDescent="0.3">
      <c r="A144" s="2" t="s">
        <v>189</v>
      </c>
      <c r="B144" s="2" t="s">
        <v>34</v>
      </c>
      <c r="C144" s="2" t="s">
        <v>27</v>
      </c>
      <c r="D144" s="4">
        <v>8383.86</v>
      </c>
      <c r="E144" s="2">
        <v>2</v>
      </c>
      <c r="F144" s="4">
        <v>16767.72</v>
      </c>
      <c r="G144" s="3">
        <v>45554</v>
      </c>
      <c r="H144" s="2" t="s">
        <v>30</v>
      </c>
      <c r="I144" s="2">
        <v>3.1</v>
      </c>
    </row>
    <row r="145" spans="1:9" x14ac:dyDescent="0.3">
      <c r="A145" s="2" t="s">
        <v>190</v>
      </c>
      <c r="B145" s="2" t="s">
        <v>77</v>
      </c>
      <c r="C145" s="2" t="s">
        <v>21</v>
      </c>
      <c r="D145" s="4">
        <v>15344.02</v>
      </c>
      <c r="E145" s="2">
        <v>1</v>
      </c>
      <c r="F145" s="4">
        <v>15344.02</v>
      </c>
      <c r="G145" s="3">
        <v>45428</v>
      </c>
      <c r="H145" s="2" t="s">
        <v>18</v>
      </c>
      <c r="I145" s="2">
        <v>4</v>
      </c>
    </row>
    <row r="146" spans="1:9" x14ac:dyDescent="0.3">
      <c r="A146" s="2" t="s">
        <v>191</v>
      </c>
      <c r="B146" s="2" t="s">
        <v>46</v>
      </c>
      <c r="C146" s="2" t="s">
        <v>24</v>
      </c>
      <c r="D146" s="4">
        <v>49142.57</v>
      </c>
      <c r="E146" s="2">
        <v>4</v>
      </c>
      <c r="F146" s="4">
        <v>196570.28</v>
      </c>
      <c r="G146" s="3">
        <v>45355</v>
      </c>
      <c r="H146" s="2" t="s">
        <v>18</v>
      </c>
      <c r="I146" s="2">
        <v>4.9000000000000004</v>
      </c>
    </row>
    <row r="147" spans="1:9" x14ac:dyDescent="0.3">
      <c r="A147" s="2" t="s">
        <v>192</v>
      </c>
      <c r="B147" s="2" t="s">
        <v>102</v>
      </c>
      <c r="C147" s="2" t="s">
        <v>13</v>
      </c>
      <c r="D147" s="4">
        <v>45182.27</v>
      </c>
      <c r="E147" s="2">
        <v>5</v>
      </c>
      <c r="F147" s="4">
        <v>225911.35</v>
      </c>
      <c r="G147" s="3">
        <v>45381</v>
      </c>
      <c r="H147" s="2" t="s">
        <v>14</v>
      </c>
      <c r="I147" s="2">
        <v>3.1</v>
      </c>
    </row>
    <row r="148" spans="1:9" x14ac:dyDescent="0.3">
      <c r="A148" s="2" t="s">
        <v>193</v>
      </c>
      <c r="B148" s="2" t="s">
        <v>36</v>
      </c>
      <c r="C148" s="2" t="s">
        <v>17</v>
      </c>
      <c r="D148" s="4">
        <v>18309.060000000001</v>
      </c>
      <c r="E148" s="2">
        <v>2</v>
      </c>
      <c r="F148" s="4">
        <v>36618.120000000003</v>
      </c>
      <c r="G148" s="3">
        <v>45423</v>
      </c>
      <c r="H148" s="2" t="s">
        <v>58</v>
      </c>
      <c r="I148" s="2">
        <v>1.9</v>
      </c>
    </row>
    <row r="149" spans="1:9" x14ac:dyDescent="0.3">
      <c r="A149" s="2" t="s">
        <v>194</v>
      </c>
      <c r="B149" s="2" t="s">
        <v>23</v>
      </c>
      <c r="C149" s="2" t="s">
        <v>24</v>
      </c>
      <c r="D149" s="4">
        <v>33021.1</v>
      </c>
      <c r="E149" s="2">
        <v>4</v>
      </c>
      <c r="F149" s="4">
        <v>132084.4</v>
      </c>
      <c r="G149" s="3">
        <v>45525</v>
      </c>
      <c r="H149" s="2" t="s">
        <v>14</v>
      </c>
      <c r="I149" s="2">
        <v>4.4000000000000004</v>
      </c>
    </row>
    <row r="150" spans="1:9" x14ac:dyDescent="0.3">
      <c r="A150" s="2" t="s">
        <v>195</v>
      </c>
      <c r="B150" s="2" t="s">
        <v>36</v>
      </c>
      <c r="C150" s="2" t="s">
        <v>17</v>
      </c>
      <c r="D150" s="4">
        <v>42814.17</v>
      </c>
      <c r="E150" s="2">
        <v>5</v>
      </c>
      <c r="F150" s="4">
        <v>214070.85</v>
      </c>
      <c r="G150" s="3">
        <v>45562</v>
      </c>
      <c r="H150" s="2" t="s">
        <v>14</v>
      </c>
      <c r="I150" s="2">
        <v>4.2</v>
      </c>
    </row>
    <row r="151" spans="1:9" x14ac:dyDescent="0.3">
      <c r="A151" s="2" t="s">
        <v>196</v>
      </c>
      <c r="B151" s="2" t="s">
        <v>40</v>
      </c>
      <c r="C151" s="2" t="s">
        <v>21</v>
      </c>
      <c r="D151" s="4">
        <v>5293.87</v>
      </c>
      <c r="E151" s="2">
        <v>2</v>
      </c>
      <c r="F151" s="4">
        <v>10587.74</v>
      </c>
      <c r="G151" s="3">
        <v>45657</v>
      </c>
      <c r="H151" s="2" t="s">
        <v>14</v>
      </c>
      <c r="I151" s="2">
        <v>2.7</v>
      </c>
    </row>
    <row r="152" spans="1:9" x14ac:dyDescent="0.3">
      <c r="A152" s="2" t="s">
        <v>197</v>
      </c>
      <c r="B152" s="2" t="s">
        <v>95</v>
      </c>
      <c r="C152" s="2" t="s">
        <v>13</v>
      </c>
      <c r="D152" s="4">
        <v>16596.580000000002</v>
      </c>
      <c r="E152" s="2">
        <v>5</v>
      </c>
      <c r="F152" s="4">
        <v>82982.899999999994</v>
      </c>
      <c r="G152" s="3">
        <v>45690</v>
      </c>
      <c r="H152" s="2" t="s">
        <v>18</v>
      </c>
      <c r="I152" s="2">
        <v>2.1</v>
      </c>
    </row>
    <row r="153" spans="1:9" x14ac:dyDescent="0.3">
      <c r="A153" s="2" t="s">
        <v>198</v>
      </c>
      <c r="B153" s="2" t="s">
        <v>32</v>
      </c>
      <c r="C153" s="2" t="s">
        <v>17</v>
      </c>
      <c r="D153" s="4">
        <v>48940.95</v>
      </c>
      <c r="E153" s="2">
        <v>1</v>
      </c>
      <c r="F153" s="4">
        <v>48940.95</v>
      </c>
      <c r="G153" s="3">
        <v>45342</v>
      </c>
      <c r="H153" s="2" t="s">
        <v>58</v>
      </c>
      <c r="I153" s="2">
        <v>1</v>
      </c>
    </row>
    <row r="154" spans="1:9" x14ac:dyDescent="0.3">
      <c r="A154" s="2" t="s">
        <v>199</v>
      </c>
      <c r="B154" s="2" t="s">
        <v>16</v>
      </c>
      <c r="C154" s="2" t="s">
        <v>17</v>
      </c>
      <c r="D154" s="4">
        <v>10059.450000000001</v>
      </c>
      <c r="E154" s="2">
        <v>5</v>
      </c>
      <c r="F154" s="4">
        <v>50297.25</v>
      </c>
      <c r="G154" s="3">
        <v>45374</v>
      </c>
      <c r="H154" s="2" t="s">
        <v>44</v>
      </c>
      <c r="I154" s="2">
        <v>4.3</v>
      </c>
    </row>
    <row r="155" spans="1:9" x14ac:dyDescent="0.3">
      <c r="A155" s="2" t="s">
        <v>200</v>
      </c>
      <c r="B155" s="2" t="s">
        <v>40</v>
      </c>
      <c r="C155" s="2" t="s">
        <v>21</v>
      </c>
      <c r="D155" s="4">
        <v>4820.8</v>
      </c>
      <c r="E155" s="2">
        <v>1</v>
      </c>
      <c r="F155" s="4">
        <v>4820.8</v>
      </c>
      <c r="G155" s="3">
        <v>45636</v>
      </c>
      <c r="H155" s="2" t="s">
        <v>30</v>
      </c>
      <c r="I155" s="2">
        <v>4.3</v>
      </c>
    </row>
    <row r="156" spans="1:9" x14ac:dyDescent="0.3">
      <c r="A156" s="2" t="s">
        <v>201</v>
      </c>
      <c r="B156" s="2" t="s">
        <v>52</v>
      </c>
      <c r="C156" s="2" t="s">
        <v>13</v>
      </c>
      <c r="D156" s="4">
        <v>12087.35</v>
      </c>
      <c r="E156" s="2">
        <v>4</v>
      </c>
      <c r="F156" s="4">
        <v>48349.4</v>
      </c>
      <c r="G156" s="3">
        <v>45617</v>
      </c>
      <c r="H156" s="2" t="s">
        <v>18</v>
      </c>
      <c r="I156" s="2">
        <v>2.6</v>
      </c>
    </row>
    <row r="157" spans="1:9" x14ac:dyDescent="0.3">
      <c r="A157" s="2" t="s">
        <v>202</v>
      </c>
      <c r="B157" s="2" t="s">
        <v>20</v>
      </c>
      <c r="C157" s="2" t="s">
        <v>21</v>
      </c>
      <c r="D157" s="4">
        <v>43522.080000000002</v>
      </c>
      <c r="E157" s="2">
        <v>5</v>
      </c>
      <c r="F157" s="4">
        <v>217610.4</v>
      </c>
      <c r="G157" s="3">
        <v>45546</v>
      </c>
      <c r="H157" s="2" t="s">
        <v>44</v>
      </c>
      <c r="I157" s="2">
        <v>4.8</v>
      </c>
    </row>
    <row r="158" spans="1:9" x14ac:dyDescent="0.3">
      <c r="A158" s="2" t="s">
        <v>203</v>
      </c>
      <c r="B158" s="2" t="s">
        <v>23</v>
      </c>
      <c r="C158" s="2" t="s">
        <v>24</v>
      </c>
      <c r="D158" s="4">
        <v>42409.26</v>
      </c>
      <c r="E158" s="2">
        <v>1</v>
      </c>
      <c r="F158" s="4">
        <v>42409.26</v>
      </c>
      <c r="G158" s="3">
        <v>45529</v>
      </c>
      <c r="H158" s="2" t="s">
        <v>14</v>
      </c>
      <c r="I158" s="2">
        <v>2</v>
      </c>
    </row>
    <row r="159" spans="1:9" x14ac:dyDescent="0.3">
      <c r="A159" s="2" t="s">
        <v>204</v>
      </c>
      <c r="B159" s="2" t="s">
        <v>95</v>
      </c>
      <c r="C159" s="2" t="s">
        <v>13</v>
      </c>
      <c r="D159" s="4">
        <v>29882.47</v>
      </c>
      <c r="E159" s="2">
        <v>5</v>
      </c>
      <c r="F159" s="4">
        <v>149412.35</v>
      </c>
      <c r="G159" s="3">
        <v>45465</v>
      </c>
      <c r="H159" s="2" t="s">
        <v>30</v>
      </c>
      <c r="I159" s="2">
        <v>4.7</v>
      </c>
    </row>
    <row r="160" spans="1:9" x14ac:dyDescent="0.3">
      <c r="A160" s="2" t="s">
        <v>205</v>
      </c>
      <c r="B160" s="2" t="s">
        <v>23</v>
      </c>
      <c r="C160" s="2" t="s">
        <v>24</v>
      </c>
      <c r="D160" s="4">
        <v>40233.279999999999</v>
      </c>
      <c r="E160" s="2">
        <v>5</v>
      </c>
      <c r="F160" s="4">
        <v>201166.4</v>
      </c>
      <c r="G160" s="3">
        <v>45662</v>
      </c>
      <c r="H160" s="2" t="s">
        <v>30</v>
      </c>
      <c r="I160" s="2">
        <v>1.9</v>
      </c>
    </row>
    <row r="161" spans="1:9" x14ac:dyDescent="0.3">
      <c r="A161" s="2" t="s">
        <v>206</v>
      </c>
      <c r="B161" s="2" t="s">
        <v>122</v>
      </c>
      <c r="C161" s="2" t="s">
        <v>27</v>
      </c>
      <c r="D161" s="4">
        <v>15357.36</v>
      </c>
      <c r="E161" s="2">
        <v>4</v>
      </c>
      <c r="F161" s="4">
        <v>61429.440000000002</v>
      </c>
      <c r="G161" s="3">
        <v>45510</v>
      </c>
      <c r="H161" s="2" t="s">
        <v>14</v>
      </c>
      <c r="I161" s="2">
        <v>1.6</v>
      </c>
    </row>
    <row r="162" spans="1:9" x14ac:dyDescent="0.3">
      <c r="A162" s="2" t="s">
        <v>207</v>
      </c>
      <c r="B162" s="2" t="s">
        <v>102</v>
      </c>
      <c r="C162" s="2" t="s">
        <v>13</v>
      </c>
      <c r="D162" s="4">
        <v>10565.57</v>
      </c>
      <c r="E162" s="2">
        <v>4</v>
      </c>
      <c r="F162" s="4">
        <v>42262.28</v>
      </c>
      <c r="G162" s="3">
        <v>45477</v>
      </c>
      <c r="H162" s="2" t="s">
        <v>58</v>
      </c>
      <c r="I162" s="2">
        <v>1.5</v>
      </c>
    </row>
    <row r="163" spans="1:9" x14ac:dyDescent="0.3">
      <c r="A163" s="2" t="s">
        <v>208</v>
      </c>
      <c r="B163" s="2" t="s">
        <v>95</v>
      </c>
      <c r="C163" s="2" t="s">
        <v>13</v>
      </c>
      <c r="D163" s="4">
        <v>42533.26</v>
      </c>
      <c r="E163" s="2">
        <v>4</v>
      </c>
      <c r="F163" s="4">
        <v>170133.04</v>
      </c>
      <c r="G163" s="3">
        <v>45624</v>
      </c>
      <c r="H163" s="2" t="s">
        <v>14</v>
      </c>
      <c r="I163" s="2">
        <v>4.5999999999999996</v>
      </c>
    </row>
    <row r="164" spans="1:9" x14ac:dyDescent="0.3">
      <c r="A164" s="2" t="s">
        <v>209</v>
      </c>
      <c r="B164" s="2" t="s">
        <v>29</v>
      </c>
      <c r="C164" s="2" t="s">
        <v>27</v>
      </c>
      <c r="D164" s="4">
        <v>18426.900000000001</v>
      </c>
      <c r="E164" s="2">
        <v>4</v>
      </c>
      <c r="F164" s="4">
        <v>73707.600000000006</v>
      </c>
      <c r="G164" s="3">
        <v>45583</v>
      </c>
      <c r="H164" s="2" t="s">
        <v>14</v>
      </c>
      <c r="I164" s="2">
        <v>4.7</v>
      </c>
    </row>
    <row r="165" spans="1:9" x14ac:dyDescent="0.3">
      <c r="A165" s="2" t="s">
        <v>210</v>
      </c>
      <c r="B165" s="2" t="s">
        <v>40</v>
      </c>
      <c r="C165" s="2" t="s">
        <v>21</v>
      </c>
      <c r="D165" s="4">
        <v>23369.23</v>
      </c>
      <c r="E165" s="2">
        <v>1</v>
      </c>
      <c r="F165" s="4">
        <v>23369.23</v>
      </c>
      <c r="G165" s="3">
        <v>45619</v>
      </c>
      <c r="H165" s="2" t="s">
        <v>49</v>
      </c>
      <c r="I165" s="2">
        <v>1.5</v>
      </c>
    </row>
    <row r="166" spans="1:9" x14ac:dyDescent="0.3">
      <c r="A166" s="2" t="s">
        <v>211</v>
      </c>
      <c r="B166" s="2" t="s">
        <v>40</v>
      </c>
      <c r="C166" s="2" t="s">
        <v>21</v>
      </c>
      <c r="D166" s="4">
        <v>2735.32</v>
      </c>
      <c r="E166" s="2">
        <v>5</v>
      </c>
      <c r="F166" s="4">
        <v>13676.6</v>
      </c>
      <c r="G166" s="3">
        <v>45646</v>
      </c>
      <c r="H166" s="2" t="s">
        <v>30</v>
      </c>
      <c r="I166" s="2">
        <v>2.6</v>
      </c>
    </row>
    <row r="167" spans="1:9" x14ac:dyDescent="0.3">
      <c r="A167" s="2" t="s">
        <v>212</v>
      </c>
      <c r="B167" s="2" t="s">
        <v>73</v>
      </c>
      <c r="C167" s="2" t="s">
        <v>24</v>
      </c>
      <c r="D167" s="4">
        <v>48944.01</v>
      </c>
      <c r="E167" s="2">
        <v>3</v>
      </c>
      <c r="F167" s="4">
        <v>146832.03</v>
      </c>
      <c r="G167" s="3">
        <v>45477</v>
      </c>
      <c r="H167" s="2" t="s">
        <v>44</v>
      </c>
      <c r="I167" s="2">
        <v>4.2</v>
      </c>
    </row>
    <row r="168" spans="1:9" x14ac:dyDescent="0.3">
      <c r="A168" s="2" t="s">
        <v>213</v>
      </c>
      <c r="B168" s="2" t="s">
        <v>71</v>
      </c>
      <c r="C168" s="2" t="s">
        <v>21</v>
      </c>
      <c r="D168" s="4">
        <v>32590.46</v>
      </c>
      <c r="E168" s="2">
        <v>2</v>
      </c>
      <c r="F168" s="4">
        <v>65180.92</v>
      </c>
      <c r="G168" s="3">
        <v>45393</v>
      </c>
      <c r="H168" s="2" t="s">
        <v>58</v>
      </c>
      <c r="I168" s="2">
        <v>2.4</v>
      </c>
    </row>
    <row r="169" spans="1:9" x14ac:dyDescent="0.3">
      <c r="A169" s="2" t="s">
        <v>214</v>
      </c>
      <c r="B169" s="2" t="s">
        <v>71</v>
      </c>
      <c r="C169" s="2" t="s">
        <v>21</v>
      </c>
      <c r="D169" s="4">
        <v>35286.97</v>
      </c>
      <c r="E169" s="2">
        <v>2</v>
      </c>
      <c r="F169" s="4">
        <v>70573.94</v>
      </c>
      <c r="G169" s="3">
        <v>45574</v>
      </c>
      <c r="H169" s="2" t="s">
        <v>58</v>
      </c>
      <c r="I169" s="2">
        <v>3.3</v>
      </c>
    </row>
    <row r="170" spans="1:9" x14ac:dyDescent="0.3">
      <c r="A170" s="2" t="s">
        <v>215</v>
      </c>
      <c r="B170" s="2" t="s">
        <v>95</v>
      </c>
      <c r="C170" s="2" t="s">
        <v>13</v>
      </c>
      <c r="D170" s="4">
        <v>42881.03</v>
      </c>
      <c r="E170" s="2">
        <v>3</v>
      </c>
      <c r="F170" s="4">
        <v>128643.09</v>
      </c>
      <c r="G170" s="3">
        <v>45625</v>
      </c>
      <c r="H170" s="2" t="s">
        <v>58</v>
      </c>
      <c r="I170" s="2">
        <v>4.4000000000000004</v>
      </c>
    </row>
    <row r="171" spans="1:9" x14ac:dyDescent="0.3">
      <c r="A171" s="2" t="s">
        <v>216</v>
      </c>
      <c r="B171" s="2" t="s">
        <v>77</v>
      </c>
      <c r="C171" s="2" t="s">
        <v>21</v>
      </c>
      <c r="D171" s="4">
        <v>28246.25</v>
      </c>
      <c r="E171" s="2">
        <v>2</v>
      </c>
      <c r="F171" s="4">
        <v>56492.5</v>
      </c>
      <c r="G171" s="3">
        <v>45446</v>
      </c>
      <c r="H171" s="2" t="s">
        <v>58</v>
      </c>
      <c r="I171" s="2">
        <v>2.2999999999999998</v>
      </c>
    </row>
    <row r="172" spans="1:9" x14ac:dyDescent="0.3">
      <c r="A172" s="2" t="s">
        <v>217</v>
      </c>
      <c r="B172" s="2" t="s">
        <v>77</v>
      </c>
      <c r="C172" s="2" t="s">
        <v>21</v>
      </c>
      <c r="D172" s="4">
        <v>24619.84</v>
      </c>
      <c r="E172" s="2">
        <v>2</v>
      </c>
      <c r="F172" s="4">
        <v>49239.68</v>
      </c>
      <c r="G172" s="3">
        <v>45632</v>
      </c>
      <c r="H172" s="2" t="s">
        <v>14</v>
      </c>
      <c r="I172" s="2">
        <v>4.0999999999999996</v>
      </c>
    </row>
    <row r="173" spans="1:9" x14ac:dyDescent="0.3">
      <c r="A173" s="2" t="s">
        <v>218</v>
      </c>
      <c r="B173" s="2" t="s">
        <v>153</v>
      </c>
      <c r="C173" s="2" t="s">
        <v>17</v>
      </c>
      <c r="D173" s="4">
        <v>12083.96</v>
      </c>
      <c r="E173" s="2">
        <v>3</v>
      </c>
      <c r="F173" s="4">
        <v>36251.879999999997</v>
      </c>
      <c r="G173" s="3">
        <v>45619</v>
      </c>
      <c r="H173" s="2" t="s">
        <v>30</v>
      </c>
      <c r="I173" s="2">
        <v>3</v>
      </c>
    </row>
    <row r="174" spans="1:9" x14ac:dyDescent="0.3">
      <c r="A174" s="2" t="s">
        <v>219</v>
      </c>
      <c r="B174" s="2" t="s">
        <v>102</v>
      </c>
      <c r="C174" s="2" t="s">
        <v>13</v>
      </c>
      <c r="D174" s="4">
        <v>12214.72</v>
      </c>
      <c r="E174" s="2">
        <v>5</v>
      </c>
      <c r="F174" s="4">
        <v>61073.599999999999</v>
      </c>
      <c r="G174" s="3">
        <v>45671</v>
      </c>
      <c r="H174" s="2" t="s">
        <v>18</v>
      </c>
      <c r="I174" s="2">
        <v>2.1</v>
      </c>
    </row>
    <row r="175" spans="1:9" x14ac:dyDescent="0.3">
      <c r="A175" s="2" t="s">
        <v>220</v>
      </c>
      <c r="B175" s="2" t="s">
        <v>95</v>
      </c>
      <c r="C175" s="2" t="s">
        <v>13</v>
      </c>
      <c r="D175" s="4">
        <v>19386.27</v>
      </c>
      <c r="E175" s="2">
        <v>1</v>
      </c>
      <c r="F175" s="4">
        <v>19386.27</v>
      </c>
      <c r="G175" s="3">
        <v>45489</v>
      </c>
      <c r="H175" s="2" t="s">
        <v>44</v>
      </c>
      <c r="I175" s="2">
        <v>4.0999999999999996</v>
      </c>
    </row>
    <row r="176" spans="1:9" x14ac:dyDescent="0.3">
      <c r="A176" s="2" t="s">
        <v>221</v>
      </c>
      <c r="B176" s="2" t="s">
        <v>12</v>
      </c>
      <c r="C176" s="2" t="s">
        <v>13</v>
      </c>
      <c r="D176" s="4">
        <v>34879.4</v>
      </c>
      <c r="E176" s="2">
        <v>3</v>
      </c>
      <c r="F176" s="4">
        <v>104638.2</v>
      </c>
      <c r="G176" s="3">
        <v>45394</v>
      </c>
      <c r="H176" s="2" t="s">
        <v>18</v>
      </c>
      <c r="I176" s="2">
        <v>2.5</v>
      </c>
    </row>
    <row r="177" spans="1:9" x14ac:dyDescent="0.3">
      <c r="A177" s="2" t="s">
        <v>222</v>
      </c>
      <c r="B177" s="2" t="s">
        <v>73</v>
      </c>
      <c r="C177" s="2" t="s">
        <v>24</v>
      </c>
      <c r="D177" s="4">
        <v>32016.11</v>
      </c>
      <c r="E177" s="2">
        <v>5</v>
      </c>
      <c r="F177" s="4">
        <v>160080.54999999999</v>
      </c>
      <c r="G177" s="3">
        <v>45562</v>
      </c>
      <c r="H177" s="2" t="s">
        <v>14</v>
      </c>
      <c r="I177" s="2">
        <v>4.3</v>
      </c>
    </row>
    <row r="178" spans="1:9" x14ac:dyDescent="0.3">
      <c r="A178" s="2" t="s">
        <v>223</v>
      </c>
      <c r="B178" s="2" t="s">
        <v>56</v>
      </c>
      <c r="C178" s="2" t="s">
        <v>17</v>
      </c>
      <c r="D178" s="4">
        <v>32264.17</v>
      </c>
      <c r="E178" s="2">
        <v>1</v>
      </c>
      <c r="F178" s="4">
        <v>32264.17</v>
      </c>
      <c r="G178" s="3">
        <v>45495</v>
      </c>
      <c r="H178" s="2" t="s">
        <v>58</v>
      </c>
      <c r="I178" s="2">
        <v>4.0999999999999996</v>
      </c>
    </row>
    <row r="179" spans="1:9" x14ac:dyDescent="0.3">
      <c r="A179" s="2" t="s">
        <v>224</v>
      </c>
      <c r="B179" s="2" t="s">
        <v>77</v>
      </c>
      <c r="C179" s="2" t="s">
        <v>21</v>
      </c>
      <c r="D179" s="4">
        <v>30171.74</v>
      </c>
      <c r="E179" s="2">
        <v>4</v>
      </c>
      <c r="F179" s="4">
        <v>120686.96</v>
      </c>
      <c r="G179" s="3">
        <v>45502</v>
      </c>
      <c r="H179" s="2" t="s">
        <v>58</v>
      </c>
      <c r="I179" s="2">
        <v>3.8</v>
      </c>
    </row>
    <row r="180" spans="1:9" x14ac:dyDescent="0.3">
      <c r="A180" s="2" t="s">
        <v>225</v>
      </c>
      <c r="B180" s="2" t="s">
        <v>153</v>
      </c>
      <c r="C180" s="2" t="s">
        <v>17</v>
      </c>
      <c r="D180" s="4">
        <v>22712.18</v>
      </c>
      <c r="E180" s="2">
        <v>5</v>
      </c>
      <c r="F180" s="4">
        <v>113560.9</v>
      </c>
      <c r="G180" s="3">
        <v>45681</v>
      </c>
      <c r="H180" s="2" t="s">
        <v>44</v>
      </c>
      <c r="I180" s="2">
        <v>3.9</v>
      </c>
    </row>
    <row r="181" spans="1:9" x14ac:dyDescent="0.3">
      <c r="A181" s="2" t="s">
        <v>226</v>
      </c>
      <c r="B181" s="2" t="s">
        <v>48</v>
      </c>
      <c r="C181" s="2" t="s">
        <v>13</v>
      </c>
      <c r="D181" s="4">
        <v>27204.69</v>
      </c>
      <c r="E181" s="2">
        <v>1</v>
      </c>
      <c r="F181" s="4">
        <v>27204.69</v>
      </c>
      <c r="G181" s="3">
        <v>45697</v>
      </c>
      <c r="H181" s="2" t="s">
        <v>14</v>
      </c>
      <c r="I181" s="2">
        <v>2.8</v>
      </c>
    </row>
    <row r="182" spans="1:9" x14ac:dyDescent="0.3">
      <c r="A182" s="2" t="s">
        <v>227</v>
      </c>
      <c r="B182" s="2" t="s">
        <v>12</v>
      </c>
      <c r="C182" s="2" t="s">
        <v>13</v>
      </c>
      <c r="D182" s="4">
        <v>17353.47</v>
      </c>
      <c r="E182" s="2">
        <v>1</v>
      </c>
      <c r="F182" s="4">
        <v>17353.47</v>
      </c>
      <c r="G182" s="3">
        <v>45630</v>
      </c>
      <c r="H182" s="2" t="s">
        <v>49</v>
      </c>
      <c r="I182" s="2">
        <v>2.6</v>
      </c>
    </row>
    <row r="183" spans="1:9" x14ac:dyDescent="0.3">
      <c r="A183" s="2" t="s">
        <v>228</v>
      </c>
      <c r="B183" s="2" t="s">
        <v>122</v>
      </c>
      <c r="C183" s="2" t="s">
        <v>27</v>
      </c>
      <c r="D183" s="4">
        <v>44882.2</v>
      </c>
      <c r="E183" s="2">
        <v>1</v>
      </c>
      <c r="F183" s="4">
        <v>44882.2</v>
      </c>
      <c r="G183" s="3">
        <v>45423</v>
      </c>
      <c r="H183" s="2" t="s">
        <v>44</v>
      </c>
      <c r="I183" s="2">
        <v>1.3</v>
      </c>
    </row>
    <row r="184" spans="1:9" x14ac:dyDescent="0.3">
      <c r="A184" s="2" t="s">
        <v>229</v>
      </c>
      <c r="B184" s="2" t="s">
        <v>122</v>
      </c>
      <c r="C184" s="2" t="s">
        <v>27</v>
      </c>
      <c r="D184" s="4">
        <v>47002.720000000001</v>
      </c>
      <c r="E184" s="2">
        <v>3</v>
      </c>
      <c r="F184" s="4">
        <v>141008.16</v>
      </c>
      <c r="G184" s="3">
        <v>45356</v>
      </c>
      <c r="H184" s="2" t="s">
        <v>14</v>
      </c>
      <c r="I184" s="2">
        <v>4.0999999999999996</v>
      </c>
    </row>
    <row r="185" spans="1:9" x14ac:dyDescent="0.3">
      <c r="A185" s="2" t="s">
        <v>230</v>
      </c>
      <c r="B185" s="2" t="s">
        <v>42</v>
      </c>
      <c r="C185" s="2" t="s">
        <v>21</v>
      </c>
      <c r="D185" s="4">
        <v>33659.67</v>
      </c>
      <c r="E185" s="2">
        <v>4</v>
      </c>
      <c r="F185" s="4">
        <v>134638.68</v>
      </c>
      <c r="G185" s="3">
        <v>45478</v>
      </c>
      <c r="H185" s="2" t="s">
        <v>30</v>
      </c>
      <c r="I185" s="2">
        <v>3.3</v>
      </c>
    </row>
    <row r="186" spans="1:9" x14ac:dyDescent="0.3">
      <c r="A186" s="2" t="s">
        <v>231</v>
      </c>
      <c r="B186" s="2" t="s">
        <v>122</v>
      </c>
      <c r="C186" s="2" t="s">
        <v>27</v>
      </c>
      <c r="D186" s="4">
        <v>13011.44</v>
      </c>
      <c r="E186" s="2">
        <v>2</v>
      </c>
      <c r="F186" s="4">
        <v>26022.880000000001</v>
      </c>
      <c r="G186" s="3">
        <v>45468</v>
      </c>
      <c r="H186" s="2" t="s">
        <v>30</v>
      </c>
      <c r="I186" s="2">
        <v>4.9000000000000004</v>
      </c>
    </row>
    <row r="187" spans="1:9" x14ac:dyDescent="0.3">
      <c r="A187" s="2" t="s">
        <v>232</v>
      </c>
      <c r="B187" s="2" t="s">
        <v>46</v>
      </c>
      <c r="C187" s="2" t="s">
        <v>24</v>
      </c>
      <c r="D187" s="4">
        <v>21990.25</v>
      </c>
      <c r="E187" s="2">
        <v>3</v>
      </c>
      <c r="F187" s="4">
        <v>65970.75</v>
      </c>
      <c r="G187" s="3">
        <v>45669</v>
      </c>
      <c r="H187" s="2" t="s">
        <v>30</v>
      </c>
      <c r="I187" s="2">
        <v>4.2</v>
      </c>
    </row>
    <row r="188" spans="1:9" x14ac:dyDescent="0.3">
      <c r="A188" s="2" t="s">
        <v>233</v>
      </c>
      <c r="B188" s="2" t="s">
        <v>40</v>
      </c>
      <c r="C188" s="2" t="s">
        <v>21</v>
      </c>
      <c r="D188" s="4">
        <v>1927.38</v>
      </c>
      <c r="E188" s="2">
        <v>3</v>
      </c>
      <c r="F188" s="4">
        <v>5782.14</v>
      </c>
      <c r="G188" s="3">
        <v>45535</v>
      </c>
      <c r="H188" s="2" t="s">
        <v>14</v>
      </c>
      <c r="I188" s="2">
        <v>2.9</v>
      </c>
    </row>
    <row r="189" spans="1:9" x14ac:dyDescent="0.3">
      <c r="A189" s="2" t="s">
        <v>234</v>
      </c>
      <c r="B189" s="2" t="s">
        <v>73</v>
      </c>
      <c r="C189" s="2" t="s">
        <v>24</v>
      </c>
      <c r="D189" s="4">
        <v>21741.53</v>
      </c>
      <c r="E189" s="2">
        <v>3</v>
      </c>
      <c r="F189" s="4">
        <v>65224.59</v>
      </c>
      <c r="G189" s="3">
        <v>45628</v>
      </c>
      <c r="H189" s="2" t="s">
        <v>44</v>
      </c>
      <c r="I189" s="2">
        <v>3.5</v>
      </c>
    </row>
    <row r="190" spans="1:9" x14ac:dyDescent="0.3">
      <c r="A190" s="2" t="s">
        <v>235</v>
      </c>
      <c r="B190" s="2" t="s">
        <v>32</v>
      </c>
      <c r="C190" s="2" t="s">
        <v>17</v>
      </c>
      <c r="D190" s="4">
        <v>23638.720000000001</v>
      </c>
      <c r="E190" s="2">
        <v>1</v>
      </c>
      <c r="F190" s="4">
        <v>23638.720000000001</v>
      </c>
      <c r="G190" s="3">
        <v>45559</v>
      </c>
      <c r="H190" s="2" t="s">
        <v>49</v>
      </c>
      <c r="I190" s="2">
        <v>1.5</v>
      </c>
    </row>
    <row r="191" spans="1:9" x14ac:dyDescent="0.3">
      <c r="A191" s="2" t="s">
        <v>236</v>
      </c>
      <c r="B191" s="2" t="s">
        <v>71</v>
      </c>
      <c r="C191" s="2" t="s">
        <v>21</v>
      </c>
      <c r="D191" s="4">
        <v>39372.11</v>
      </c>
      <c r="E191" s="2">
        <v>1</v>
      </c>
      <c r="F191" s="4">
        <v>39372.11</v>
      </c>
      <c r="G191" s="3">
        <v>45395</v>
      </c>
      <c r="H191" s="2" t="s">
        <v>30</v>
      </c>
      <c r="I191" s="2">
        <v>4.0999999999999996</v>
      </c>
    </row>
    <row r="192" spans="1:9" x14ac:dyDescent="0.3">
      <c r="A192" s="2" t="s">
        <v>237</v>
      </c>
      <c r="B192" s="2" t="s">
        <v>95</v>
      </c>
      <c r="C192" s="2" t="s">
        <v>13</v>
      </c>
      <c r="D192" s="4">
        <v>49088.13</v>
      </c>
      <c r="E192" s="2">
        <v>4</v>
      </c>
      <c r="F192" s="4">
        <v>196352.52</v>
      </c>
      <c r="G192" s="3">
        <v>45357</v>
      </c>
      <c r="H192" s="2" t="s">
        <v>30</v>
      </c>
      <c r="I192" s="2">
        <v>2.2999999999999998</v>
      </c>
    </row>
    <row r="193" spans="1:9" x14ac:dyDescent="0.3">
      <c r="A193" s="2" t="s">
        <v>238</v>
      </c>
      <c r="B193" s="2" t="s">
        <v>26</v>
      </c>
      <c r="C193" s="2" t="s">
        <v>27</v>
      </c>
      <c r="D193" s="4">
        <v>4524.63</v>
      </c>
      <c r="E193" s="2">
        <v>3</v>
      </c>
      <c r="F193" s="4">
        <v>13573.89</v>
      </c>
      <c r="G193" s="3">
        <v>45645</v>
      </c>
      <c r="H193" s="2" t="s">
        <v>18</v>
      </c>
      <c r="I193" s="2">
        <v>2.4</v>
      </c>
    </row>
    <row r="194" spans="1:9" x14ac:dyDescent="0.3">
      <c r="A194" s="2" t="s">
        <v>239</v>
      </c>
      <c r="B194" s="2" t="s">
        <v>32</v>
      </c>
      <c r="C194" s="2" t="s">
        <v>17</v>
      </c>
      <c r="D194" s="4">
        <v>1507.01</v>
      </c>
      <c r="E194" s="2">
        <v>3</v>
      </c>
      <c r="F194" s="4">
        <v>4521.03</v>
      </c>
      <c r="G194" s="3">
        <v>45506</v>
      </c>
      <c r="H194" s="2" t="s">
        <v>58</v>
      </c>
      <c r="I194" s="2">
        <v>2.5</v>
      </c>
    </row>
    <row r="195" spans="1:9" x14ac:dyDescent="0.3">
      <c r="A195" s="2" t="s">
        <v>240</v>
      </c>
      <c r="B195" s="2" t="s">
        <v>38</v>
      </c>
      <c r="C195" s="2" t="s">
        <v>24</v>
      </c>
      <c r="D195" s="4">
        <v>39699.85</v>
      </c>
      <c r="E195" s="2">
        <v>3</v>
      </c>
      <c r="F195" s="4">
        <v>119099.55</v>
      </c>
      <c r="G195" s="3">
        <v>45426</v>
      </c>
      <c r="H195" s="2" t="s">
        <v>30</v>
      </c>
      <c r="I195" s="2">
        <v>3.9</v>
      </c>
    </row>
    <row r="196" spans="1:9" x14ac:dyDescent="0.3">
      <c r="A196" s="2" t="s">
        <v>241</v>
      </c>
      <c r="B196" s="2" t="s">
        <v>20</v>
      </c>
      <c r="C196" s="2" t="s">
        <v>21</v>
      </c>
      <c r="D196" s="4">
        <v>37494.129999999997</v>
      </c>
      <c r="E196" s="2">
        <v>5</v>
      </c>
      <c r="F196" s="4">
        <v>187470.65</v>
      </c>
      <c r="G196" s="3">
        <v>45566</v>
      </c>
      <c r="H196" s="2" t="s">
        <v>44</v>
      </c>
      <c r="I196" s="2">
        <v>1.8</v>
      </c>
    </row>
    <row r="197" spans="1:9" x14ac:dyDescent="0.3">
      <c r="A197" s="2" t="s">
        <v>242</v>
      </c>
      <c r="B197" s="2" t="s">
        <v>46</v>
      </c>
      <c r="C197" s="2" t="s">
        <v>24</v>
      </c>
      <c r="D197" s="4">
        <v>5850.81</v>
      </c>
      <c r="E197" s="2">
        <v>5</v>
      </c>
      <c r="F197" s="4">
        <v>29254.05</v>
      </c>
      <c r="G197" s="3">
        <v>45624</v>
      </c>
      <c r="H197" s="2" t="s">
        <v>44</v>
      </c>
      <c r="I197" s="2">
        <v>1.3</v>
      </c>
    </row>
    <row r="198" spans="1:9" x14ac:dyDescent="0.3">
      <c r="A198" s="2" t="s">
        <v>243</v>
      </c>
      <c r="B198" s="2" t="s">
        <v>102</v>
      </c>
      <c r="C198" s="2" t="s">
        <v>13</v>
      </c>
      <c r="D198" s="4">
        <v>16448.740000000002</v>
      </c>
      <c r="E198" s="2">
        <v>4</v>
      </c>
      <c r="F198" s="4">
        <v>65794.960000000006</v>
      </c>
      <c r="G198" s="3">
        <v>45539</v>
      </c>
      <c r="H198" s="2" t="s">
        <v>58</v>
      </c>
      <c r="I198" s="2">
        <v>4.5999999999999996</v>
      </c>
    </row>
    <row r="199" spans="1:9" x14ac:dyDescent="0.3">
      <c r="A199" s="2" t="s">
        <v>244</v>
      </c>
      <c r="B199" s="2" t="s">
        <v>23</v>
      </c>
      <c r="C199" s="2" t="s">
        <v>24</v>
      </c>
      <c r="D199" s="4">
        <v>11103.44</v>
      </c>
      <c r="E199" s="2">
        <v>1</v>
      </c>
      <c r="F199" s="4">
        <v>11103.44</v>
      </c>
      <c r="G199" s="3">
        <v>45421</v>
      </c>
      <c r="H199" s="2" t="s">
        <v>30</v>
      </c>
      <c r="I199" s="2">
        <v>1.1000000000000001</v>
      </c>
    </row>
    <row r="200" spans="1:9" x14ac:dyDescent="0.3">
      <c r="A200" s="2" t="s">
        <v>245</v>
      </c>
      <c r="B200" s="2" t="s">
        <v>102</v>
      </c>
      <c r="C200" s="2" t="s">
        <v>13</v>
      </c>
      <c r="D200" s="4">
        <v>34255.39</v>
      </c>
      <c r="E200" s="2">
        <v>2</v>
      </c>
      <c r="F200" s="4">
        <v>68510.78</v>
      </c>
      <c r="G200" s="3">
        <v>45340</v>
      </c>
      <c r="H200" s="2" t="s">
        <v>18</v>
      </c>
      <c r="I200" s="2">
        <v>2.9</v>
      </c>
    </row>
    <row r="201" spans="1:9" x14ac:dyDescent="0.3">
      <c r="A201" s="2" t="s">
        <v>246</v>
      </c>
      <c r="B201" s="2" t="s">
        <v>23</v>
      </c>
      <c r="C201" s="2" t="s">
        <v>24</v>
      </c>
      <c r="D201" s="4">
        <v>18304.18</v>
      </c>
      <c r="E201" s="2">
        <v>2</v>
      </c>
      <c r="F201" s="4">
        <v>36608.36</v>
      </c>
      <c r="G201" s="3">
        <v>45565</v>
      </c>
      <c r="H201" s="2" t="s">
        <v>14</v>
      </c>
      <c r="I201" s="2">
        <v>1.6</v>
      </c>
    </row>
    <row r="202" spans="1:9" x14ac:dyDescent="0.3">
      <c r="A202" s="2" t="s">
        <v>247</v>
      </c>
      <c r="B202" s="2" t="s">
        <v>34</v>
      </c>
      <c r="C202" s="2" t="s">
        <v>27</v>
      </c>
      <c r="D202" s="4">
        <v>12771.91</v>
      </c>
      <c r="E202" s="2">
        <v>2</v>
      </c>
      <c r="F202" s="4">
        <v>25543.82</v>
      </c>
      <c r="G202" s="3">
        <v>45484</v>
      </c>
      <c r="H202" s="2" t="s">
        <v>30</v>
      </c>
      <c r="I202" s="2">
        <v>3.2</v>
      </c>
    </row>
    <row r="203" spans="1:9" x14ac:dyDescent="0.3">
      <c r="A203" s="2" t="s">
        <v>248</v>
      </c>
      <c r="B203" s="2" t="s">
        <v>48</v>
      </c>
      <c r="C203" s="2" t="s">
        <v>13</v>
      </c>
      <c r="D203" s="4">
        <v>2275.09</v>
      </c>
      <c r="E203" s="2">
        <v>2</v>
      </c>
      <c r="F203" s="4">
        <v>4550.18</v>
      </c>
      <c r="G203" s="3">
        <v>45470</v>
      </c>
      <c r="H203" s="2" t="s">
        <v>14</v>
      </c>
      <c r="I203" s="2">
        <v>1.5</v>
      </c>
    </row>
    <row r="204" spans="1:9" x14ac:dyDescent="0.3">
      <c r="A204" s="2" t="s">
        <v>249</v>
      </c>
      <c r="B204" s="2" t="s">
        <v>32</v>
      </c>
      <c r="C204" s="2" t="s">
        <v>17</v>
      </c>
      <c r="D204" s="4">
        <v>16468.59</v>
      </c>
      <c r="E204" s="2">
        <v>4</v>
      </c>
      <c r="F204" s="4">
        <v>65874.36</v>
      </c>
      <c r="G204" s="3">
        <v>45589</v>
      </c>
      <c r="H204" s="2" t="s">
        <v>58</v>
      </c>
      <c r="I204" s="2">
        <v>4.5</v>
      </c>
    </row>
    <row r="205" spans="1:9" x14ac:dyDescent="0.3">
      <c r="A205" s="2" t="s">
        <v>250</v>
      </c>
      <c r="B205" s="2" t="s">
        <v>26</v>
      </c>
      <c r="C205" s="2" t="s">
        <v>27</v>
      </c>
      <c r="D205" s="4">
        <v>4934.99</v>
      </c>
      <c r="E205" s="2">
        <v>3</v>
      </c>
      <c r="F205" s="4">
        <v>14804.97</v>
      </c>
      <c r="G205" s="3">
        <v>45581</v>
      </c>
      <c r="H205" s="2" t="s">
        <v>49</v>
      </c>
      <c r="I205" s="2">
        <v>4.5999999999999996</v>
      </c>
    </row>
    <row r="206" spans="1:9" x14ac:dyDescent="0.3">
      <c r="A206" s="2" t="s">
        <v>251</v>
      </c>
      <c r="B206" s="2" t="s">
        <v>34</v>
      </c>
      <c r="C206" s="2" t="s">
        <v>27</v>
      </c>
      <c r="D206" s="4">
        <v>5258.29</v>
      </c>
      <c r="E206" s="2">
        <v>5</v>
      </c>
      <c r="F206" s="4">
        <v>26291.45</v>
      </c>
      <c r="G206" s="3">
        <v>45527</v>
      </c>
      <c r="H206" s="2" t="s">
        <v>30</v>
      </c>
      <c r="I206" s="2">
        <v>2.5</v>
      </c>
    </row>
    <row r="207" spans="1:9" x14ac:dyDescent="0.3">
      <c r="A207" s="2" t="s">
        <v>252</v>
      </c>
      <c r="B207" s="2" t="s">
        <v>71</v>
      </c>
      <c r="C207" s="2" t="s">
        <v>21</v>
      </c>
      <c r="D207" s="4">
        <v>32580</v>
      </c>
      <c r="E207" s="2">
        <v>5</v>
      </c>
      <c r="F207" s="4">
        <v>162900</v>
      </c>
      <c r="G207" s="3">
        <v>45378</v>
      </c>
      <c r="H207" s="2" t="s">
        <v>44</v>
      </c>
      <c r="I207" s="2">
        <v>2.7</v>
      </c>
    </row>
    <row r="208" spans="1:9" x14ac:dyDescent="0.3">
      <c r="A208" s="2" t="s">
        <v>253</v>
      </c>
      <c r="B208" s="2" t="s">
        <v>122</v>
      </c>
      <c r="C208" s="2" t="s">
        <v>27</v>
      </c>
      <c r="D208" s="4">
        <v>40298.9</v>
      </c>
      <c r="E208" s="2">
        <v>1</v>
      </c>
      <c r="F208" s="4">
        <v>40298.9</v>
      </c>
      <c r="G208" s="3">
        <v>45460</v>
      </c>
      <c r="H208" s="2" t="s">
        <v>14</v>
      </c>
      <c r="I208" s="2">
        <v>1.2</v>
      </c>
    </row>
    <row r="209" spans="1:9" x14ac:dyDescent="0.3">
      <c r="A209" s="2" t="s">
        <v>254</v>
      </c>
      <c r="B209" s="2" t="s">
        <v>38</v>
      </c>
      <c r="C209" s="2" t="s">
        <v>24</v>
      </c>
      <c r="D209" s="4">
        <v>11236.19</v>
      </c>
      <c r="E209" s="2">
        <v>3</v>
      </c>
      <c r="F209" s="4">
        <v>33708.57</v>
      </c>
      <c r="G209" s="3">
        <v>45598</v>
      </c>
      <c r="H209" s="2" t="s">
        <v>44</v>
      </c>
      <c r="I209" s="2">
        <v>2.6</v>
      </c>
    </row>
    <row r="210" spans="1:9" x14ac:dyDescent="0.3">
      <c r="A210" s="2" t="s">
        <v>255</v>
      </c>
      <c r="B210" s="2" t="s">
        <v>102</v>
      </c>
      <c r="C210" s="2" t="s">
        <v>13</v>
      </c>
      <c r="D210" s="4">
        <v>32537.46</v>
      </c>
      <c r="E210" s="2">
        <v>5</v>
      </c>
      <c r="F210" s="4">
        <v>162687.29999999999</v>
      </c>
      <c r="G210" s="3">
        <v>45593</v>
      </c>
      <c r="H210" s="2" t="s">
        <v>18</v>
      </c>
      <c r="I210" s="2">
        <v>3.4</v>
      </c>
    </row>
    <row r="211" spans="1:9" x14ac:dyDescent="0.3">
      <c r="A211" s="2" t="s">
        <v>256</v>
      </c>
      <c r="B211" s="2" t="s">
        <v>16</v>
      </c>
      <c r="C211" s="2" t="s">
        <v>17</v>
      </c>
      <c r="D211" s="4">
        <v>6953.88</v>
      </c>
      <c r="E211" s="2">
        <v>1</v>
      </c>
      <c r="F211" s="4">
        <v>6953.88</v>
      </c>
      <c r="G211" s="3">
        <v>45426</v>
      </c>
      <c r="H211" s="2" t="s">
        <v>18</v>
      </c>
      <c r="I211" s="2">
        <v>2.9</v>
      </c>
    </row>
    <row r="212" spans="1:9" x14ac:dyDescent="0.3">
      <c r="A212" s="2" t="s">
        <v>257</v>
      </c>
      <c r="B212" s="2" t="s">
        <v>62</v>
      </c>
      <c r="C212" s="2" t="s">
        <v>27</v>
      </c>
      <c r="D212" s="4">
        <v>32824.050000000003</v>
      </c>
      <c r="E212" s="2">
        <v>3</v>
      </c>
      <c r="F212" s="4">
        <v>98472.15</v>
      </c>
      <c r="G212" s="3">
        <v>45537</v>
      </c>
      <c r="H212" s="2" t="s">
        <v>49</v>
      </c>
      <c r="I212" s="2">
        <v>3.6</v>
      </c>
    </row>
    <row r="213" spans="1:9" x14ac:dyDescent="0.3">
      <c r="A213" s="2" t="s">
        <v>258</v>
      </c>
      <c r="B213" s="2" t="s">
        <v>32</v>
      </c>
      <c r="C213" s="2" t="s">
        <v>17</v>
      </c>
      <c r="D213" s="4">
        <v>34459.99</v>
      </c>
      <c r="E213" s="2">
        <v>3</v>
      </c>
      <c r="F213" s="4">
        <v>103379.97</v>
      </c>
      <c r="G213" s="3">
        <v>45570</v>
      </c>
      <c r="H213" s="2" t="s">
        <v>14</v>
      </c>
      <c r="I213" s="2">
        <v>1.4</v>
      </c>
    </row>
    <row r="214" spans="1:9" x14ac:dyDescent="0.3">
      <c r="A214" s="2" t="s">
        <v>259</v>
      </c>
      <c r="B214" s="2" t="s">
        <v>12</v>
      </c>
      <c r="C214" s="2" t="s">
        <v>13</v>
      </c>
      <c r="D214" s="4">
        <v>13608.58</v>
      </c>
      <c r="E214" s="2">
        <v>3</v>
      </c>
      <c r="F214" s="4">
        <v>40825.74</v>
      </c>
      <c r="G214" s="3">
        <v>45387</v>
      </c>
      <c r="H214" s="2" t="s">
        <v>18</v>
      </c>
      <c r="I214" s="2">
        <v>4.5999999999999996</v>
      </c>
    </row>
    <row r="215" spans="1:9" x14ac:dyDescent="0.3">
      <c r="A215" s="2" t="s">
        <v>260</v>
      </c>
      <c r="B215" s="2" t="s">
        <v>29</v>
      </c>
      <c r="C215" s="2" t="s">
        <v>27</v>
      </c>
      <c r="D215" s="4">
        <v>32630.83</v>
      </c>
      <c r="E215" s="2">
        <v>2</v>
      </c>
      <c r="F215" s="4">
        <v>65261.66</v>
      </c>
      <c r="G215" s="3">
        <v>45648</v>
      </c>
      <c r="H215" s="2" t="s">
        <v>18</v>
      </c>
      <c r="I215" s="2">
        <v>4.7</v>
      </c>
    </row>
    <row r="216" spans="1:9" x14ac:dyDescent="0.3">
      <c r="A216" s="2" t="s">
        <v>261</v>
      </c>
      <c r="B216" s="2" t="s">
        <v>73</v>
      </c>
      <c r="C216" s="2" t="s">
        <v>24</v>
      </c>
      <c r="D216" s="4">
        <v>24818.77</v>
      </c>
      <c r="E216" s="2">
        <v>4</v>
      </c>
      <c r="F216" s="4">
        <v>99275.08</v>
      </c>
      <c r="G216" s="3">
        <v>45610</v>
      </c>
      <c r="H216" s="2" t="s">
        <v>14</v>
      </c>
      <c r="I216" s="2">
        <v>2.2999999999999998</v>
      </c>
    </row>
    <row r="217" spans="1:9" x14ac:dyDescent="0.3">
      <c r="A217" s="2" t="s">
        <v>262</v>
      </c>
      <c r="B217" s="2" t="s">
        <v>52</v>
      </c>
      <c r="C217" s="2" t="s">
        <v>13</v>
      </c>
      <c r="D217" s="4">
        <v>36645.35</v>
      </c>
      <c r="E217" s="2">
        <v>3</v>
      </c>
      <c r="F217" s="4">
        <v>109936.05</v>
      </c>
      <c r="G217" s="3">
        <v>45652</v>
      </c>
      <c r="H217" s="2" t="s">
        <v>14</v>
      </c>
      <c r="I217" s="2">
        <v>2.5</v>
      </c>
    </row>
    <row r="218" spans="1:9" x14ac:dyDescent="0.3">
      <c r="A218" s="2" t="s">
        <v>263</v>
      </c>
      <c r="B218" s="2" t="s">
        <v>16</v>
      </c>
      <c r="C218" s="2" t="s">
        <v>17</v>
      </c>
      <c r="D218" s="4">
        <v>25668.959999999999</v>
      </c>
      <c r="E218" s="2">
        <v>3</v>
      </c>
      <c r="F218" s="4">
        <v>77006.880000000005</v>
      </c>
      <c r="G218" s="3">
        <v>45451</v>
      </c>
      <c r="H218" s="2" t="s">
        <v>14</v>
      </c>
      <c r="I218" s="2">
        <v>4.8</v>
      </c>
    </row>
    <row r="219" spans="1:9" x14ac:dyDescent="0.3">
      <c r="A219" s="2" t="s">
        <v>264</v>
      </c>
      <c r="B219" s="2" t="s">
        <v>153</v>
      </c>
      <c r="C219" s="2" t="s">
        <v>17</v>
      </c>
      <c r="D219" s="4">
        <v>44241.68</v>
      </c>
      <c r="E219" s="2">
        <v>4</v>
      </c>
      <c r="F219" s="4">
        <v>176966.72</v>
      </c>
      <c r="G219" s="3">
        <v>45553</v>
      </c>
      <c r="H219" s="2" t="s">
        <v>44</v>
      </c>
      <c r="I219" s="2">
        <v>1.4</v>
      </c>
    </row>
    <row r="220" spans="1:9" x14ac:dyDescent="0.3">
      <c r="A220" s="2" t="s">
        <v>265</v>
      </c>
      <c r="B220" s="2" t="s">
        <v>84</v>
      </c>
      <c r="C220" s="2" t="s">
        <v>24</v>
      </c>
      <c r="D220" s="4">
        <v>39749.19</v>
      </c>
      <c r="E220" s="2">
        <v>1</v>
      </c>
      <c r="F220" s="4">
        <v>39749.19</v>
      </c>
      <c r="G220" s="3">
        <v>45492</v>
      </c>
      <c r="H220" s="2" t="s">
        <v>44</v>
      </c>
      <c r="I220" s="2">
        <v>3.5</v>
      </c>
    </row>
    <row r="221" spans="1:9" x14ac:dyDescent="0.3">
      <c r="A221" s="2" t="s">
        <v>266</v>
      </c>
      <c r="B221" s="2" t="s">
        <v>38</v>
      </c>
      <c r="C221" s="2" t="s">
        <v>24</v>
      </c>
      <c r="D221" s="4">
        <v>37578.46</v>
      </c>
      <c r="E221" s="2">
        <v>2</v>
      </c>
      <c r="F221" s="4">
        <v>75156.92</v>
      </c>
      <c r="G221" s="3">
        <v>45451</v>
      </c>
      <c r="H221" s="2" t="s">
        <v>58</v>
      </c>
      <c r="I221" s="2">
        <v>4.4000000000000004</v>
      </c>
    </row>
    <row r="222" spans="1:9" x14ac:dyDescent="0.3">
      <c r="A222" s="2" t="s">
        <v>267</v>
      </c>
      <c r="B222" s="2" t="s">
        <v>46</v>
      </c>
      <c r="C222" s="2" t="s">
        <v>24</v>
      </c>
      <c r="D222" s="4">
        <v>37203.65</v>
      </c>
      <c r="E222" s="2">
        <v>4</v>
      </c>
      <c r="F222" s="4">
        <v>148814.6</v>
      </c>
      <c r="G222" s="3">
        <v>45426</v>
      </c>
      <c r="H222" s="2" t="s">
        <v>30</v>
      </c>
      <c r="I222" s="2">
        <v>3.5</v>
      </c>
    </row>
    <row r="223" spans="1:9" x14ac:dyDescent="0.3">
      <c r="A223" s="2" t="s">
        <v>268</v>
      </c>
      <c r="B223" s="2" t="s">
        <v>102</v>
      </c>
      <c r="C223" s="2" t="s">
        <v>13</v>
      </c>
      <c r="D223" s="4">
        <v>22851.63</v>
      </c>
      <c r="E223" s="2">
        <v>1</v>
      </c>
      <c r="F223" s="4">
        <v>22851.63</v>
      </c>
      <c r="G223" s="3">
        <v>45426</v>
      </c>
      <c r="H223" s="2" t="s">
        <v>30</v>
      </c>
      <c r="I223" s="2">
        <v>1</v>
      </c>
    </row>
    <row r="224" spans="1:9" x14ac:dyDescent="0.3">
      <c r="A224" s="2" t="s">
        <v>269</v>
      </c>
      <c r="B224" s="2" t="s">
        <v>71</v>
      </c>
      <c r="C224" s="2" t="s">
        <v>21</v>
      </c>
      <c r="D224" s="4">
        <v>27627.84</v>
      </c>
      <c r="E224" s="2">
        <v>4</v>
      </c>
      <c r="F224" s="4">
        <v>110511.36</v>
      </c>
      <c r="G224" s="3">
        <v>45381</v>
      </c>
      <c r="H224" s="2" t="s">
        <v>18</v>
      </c>
      <c r="I224" s="2">
        <v>1.8</v>
      </c>
    </row>
    <row r="225" spans="1:9" x14ac:dyDescent="0.3">
      <c r="A225" s="2" t="s">
        <v>270</v>
      </c>
      <c r="B225" s="2" t="s">
        <v>102</v>
      </c>
      <c r="C225" s="2" t="s">
        <v>13</v>
      </c>
      <c r="D225" s="4">
        <v>31333.95</v>
      </c>
      <c r="E225" s="2">
        <v>3</v>
      </c>
      <c r="F225" s="4">
        <v>94001.85</v>
      </c>
      <c r="G225" s="3">
        <v>45525</v>
      </c>
      <c r="H225" s="2" t="s">
        <v>14</v>
      </c>
      <c r="I225" s="2">
        <v>1.7</v>
      </c>
    </row>
    <row r="226" spans="1:9" x14ac:dyDescent="0.3">
      <c r="A226" s="2" t="s">
        <v>271</v>
      </c>
      <c r="B226" s="2" t="s">
        <v>62</v>
      </c>
      <c r="C226" s="2" t="s">
        <v>27</v>
      </c>
      <c r="D226" s="4">
        <v>30911.439999999999</v>
      </c>
      <c r="E226" s="2">
        <v>5</v>
      </c>
      <c r="F226" s="4">
        <v>154557.20000000001</v>
      </c>
      <c r="G226" s="3">
        <v>45388</v>
      </c>
      <c r="H226" s="2" t="s">
        <v>14</v>
      </c>
      <c r="I226" s="2">
        <v>3</v>
      </c>
    </row>
    <row r="227" spans="1:9" x14ac:dyDescent="0.3">
      <c r="A227" s="2" t="s">
        <v>272</v>
      </c>
      <c r="B227" s="2" t="s">
        <v>73</v>
      </c>
      <c r="C227" s="2" t="s">
        <v>24</v>
      </c>
      <c r="D227" s="4">
        <v>11518.23</v>
      </c>
      <c r="E227" s="2">
        <v>1</v>
      </c>
      <c r="F227" s="4">
        <v>11518.23</v>
      </c>
      <c r="G227" s="3">
        <v>45687</v>
      </c>
      <c r="H227" s="2" t="s">
        <v>14</v>
      </c>
      <c r="I227" s="2">
        <v>4.4000000000000004</v>
      </c>
    </row>
    <row r="228" spans="1:9" x14ac:dyDescent="0.3">
      <c r="A228" s="2" t="s">
        <v>273</v>
      </c>
      <c r="B228" s="2" t="s">
        <v>16</v>
      </c>
      <c r="C228" s="2" t="s">
        <v>17</v>
      </c>
      <c r="D228" s="4">
        <v>43304.55</v>
      </c>
      <c r="E228" s="2">
        <v>5</v>
      </c>
      <c r="F228" s="4">
        <v>216522.75</v>
      </c>
      <c r="G228" s="3">
        <v>45654</v>
      </c>
      <c r="H228" s="2" t="s">
        <v>18</v>
      </c>
      <c r="I228" s="2">
        <v>2.6</v>
      </c>
    </row>
    <row r="229" spans="1:9" x14ac:dyDescent="0.3">
      <c r="A229" s="2" t="s">
        <v>274</v>
      </c>
      <c r="B229" s="2" t="s">
        <v>102</v>
      </c>
      <c r="C229" s="2" t="s">
        <v>13</v>
      </c>
      <c r="D229" s="4">
        <v>3710.07</v>
      </c>
      <c r="E229" s="2">
        <v>3</v>
      </c>
      <c r="F229" s="4">
        <v>11130.21</v>
      </c>
      <c r="G229" s="3">
        <v>45342</v>
      </c>
      <c r="H229" s="2" t="s">
        <v>49</v>
      </c>
      <c r="I229" s="2">
        <v>4.2</v>
      </c>
    </row>
    <row r="230" spans="1:9" x14ac:dyDescent="0.3">
      <c r="A230" s="2" t="s">
        <v>275</v>
      </c>
      <c r="B230" s="2" t="s">
        <v>40</v>
      </c>
      <c r="C230" s="2" t="s">
        <v>21</v>
      </c>
      <c r="D230" s="4">
        <v>34621.21</v>
      </c>
      <c r="E230" s="2">
        <v>2</v>
      </c>
      <c r="F230" s="4">
        <v>69242.42</v>
      </c>
      <c r="G230" s="3">
        <v>45663</v>
      </c>
      <c r="H230" s="2" t="s">
        <v>30</v>
      </c>
      <c r="I230" s="2">
        <v>1.8</v>
      </c>
    </row>
    <row r="231" spans="1:9" x14ac:dyDescent="0.3">
      <c r="A231" s="2" t="s">
        <v>276</v>
      </c>
      <c r="B231" s="2" t="s">
        <v>84</v>
      </c>
      <c r="C231" s="2" t="s">
        <v>24</v>
      </c>
      <c r="D231" s="4">
        <v>41742.29</v>
      </c>
      <c r="E231" s="2">
        <v>5</v>
      </c>
      <c r="F231" s="4">
        <v>208711.45</v>
      </c>
      <c r="G231" s="3">
        <v>45488</v>
      </c>
      <c r="H231" s="2" t="s">
        <v>44</v>
      </c>
      <c r="I231" s="2">
        <v>2.6</v>
      </c>
    </row>
    <row r="232" spans="1:9" x14ac:dyDescent="0.3">
      <c r="A232" s="2" t="s">
        <v>277</v>
      </c>
      <c r="B232" s="2" t="s">
        <v>62</v>
      </c>
      <c r="C232" s="2" t="s">
        <v>27</v>
      </c>
      <c r="D232" s="4">
        <v>46858.63</v>
      </c>
      <c r="E232" s="2">
        <v>1</v>
      </c>
      <c r="F232" s="4">
        <v>46858.63</v>
      </c>
      <c r="G232" s="3">
        <v>45598</v>
      </c>
      <c r="H232" s="2" t="s">
        <v>14</v>
      </c>
      <c r="I232" s="2">
        <v>3.5</v>
      </c>
    </row>
    <row r="233" spans="1:9" x14ac:dyDescent="0.3">
      <c r="A233" s="2" t="s">
        <v>278</v>
      </c>
      <c r="B233" s="2" t="s">
        <v>23</v>
      </c>
      <c r="C233" s="2" t="s">
        <v>24</v>
      </c>
      <c r="D233" s="4">
        <v>5413.09</v>
      </c>
      <c r="E233" s="2">
        <v>1</v>
      </c>
      <c r="F233" s="4">
        <v>5413.09</v>
      </c>
      <c r="G233" s="3">
        <v>45432</v>
      </c>
      <c r="H233" s="2" t="s">
        <v>18</v>
      </c>
      <c r="I233" s="2">
        <v>3.4</v>
      </c>
    </row>
    <row r="234" spans="1:9" x14ac:dyDescent="0.3">
      <c r="A234" s="2" t="s">
        <v>279</v>
      </c>
      <c r="B234" s="2" t="s">
        <v>73</v>
      </c>
      <c r="C234" s="2" t="s">
        <v>24</v>
      </c>
      <c r="D234" s="4">
        <v>5880.45</v>
      </c>
      <c r="E234" s="2">
        <v>1</v>
      </c>
      <c r="F234" s="4">
        <v>5880.45</v>
      </c>
      <c r="G234" s="3">
        <v>45544</v>
      </c>
      <c r="H234" s="2" t="s">
        <v>58</v>
      </c>
      <c r="I234" s="2">
        <v>2</v>
      </c>
    </row>
    <row r="235" spans="1:9" x14ac:dyDescent="0.3">
      <c r="A235" s="2" t="s">
        <v>280</v>
      </c>
      <c r="B235" s="2" t="s">
        <v>48</v>
      </c>
      <c r="C235" s="2" t="s">
        <v>13</v>
      </c>
      <c r="D235" s="4">
        <v>35665.26</v>
      </c>
      <c r="E235" s="2">
        <v>3</v>
      </c>
      <c r="F235" s="4">
        <v>106995.78</v>
      </c>
      <c r="G235" s="3">
        <v>45381</v>
      </c>
      <c r="H235" s="2" t="s">
        <v>30</v>
      </c>
      <c r="I235" s="2">
        <v>1.2</v>
      </c>
    </row>
    <row r="236" spans="1:9" x14ac:dyDescent="0.3">
      <c r="A236" s="2" t="s">
        <v>281</v>
      </c>
      <c r="B236" s="2" t="s">
        <v>84</v>
      </c>
      <c r="C236" s="2" t="s">
        <v>24</v>
      </c>
      <c r="D236" s="4">
        <v>42981.89</v>
      </c>
      <c r="E236" s="2">
        <v>5</v>
      </c>
      <c r="F236" s="4">
        <v>214909.45</v>
      </c>
      <c r="G236" s="3">
        <v>45659</v>
      </c>
      <c r="H236" s="2" t="s">
        <v>49</v>
      </c>
      <c r="I236" s="2">
        <v>1.8</v>
      </c>
    </row>
    <row r="237" spans="1:9" x14ac:dyDescent="0.3">
      <c r="A237" s="2" t="s">
        <v>282</v>
      </c>
      <c r="B237" s="2" t="s">
        <v>48</v>
      </c>
      <c r="C237" s="2" t="s">
        <v>13</v>
      </c>
      <c r="D237" s="4">
        <v>25629.88</v>
      </c>
      <c r="E237" s="2">
        <v>3</v>
      </c>
      <c r="F237" s="4">
        <v>76889.64</v>
      </c>
      <c r="G237" s="3">
        <v>45538</v>
      </c>
      <c r="H237" s="2" t="s">
        <v>14</v>
      </c>
      <c r="I237" s="2">
        <v>2.9</v>
      </c>
    </row>
    <row r="238" spans="1:9" x14ac:dyDescent="0.3">
      <c r="A238" s="2" t="s">
        <v>283</v>
      </c>
      <c r="B238" s="2" t="s">
        <v>40</v>
      </c>
      <c r="C238" s="2" t="s">
        <v>21</v>
      </c>
      <c r="D238" s="4">
        <v>22475.94</v>
      </c>
      <c r="E238" s="2">
        <v>4</v>
      </c>
      <c r="F238" s="4">
        <v>89903.76</v>
      </c>
      <c r="G238" s="3">
        <v>45335</v>
      </c>
      <c r="H238" s="2" t="s">
        <v>14</v>
      </c>
      <c r="I238" s="2">
        <v>3.5</v>
      </c>
    </row>
    <row r="239" spans="1:9" x14ac:dyDescent="0.3">
      <c r="A239" s="2" t="s">
        <v>284</v>
      </c>
      <c r="B239" s="2" t="s">
        <v>122</v>
      </c>
      <c r="C239" s="2" t="s">
        <v>27</v>
      </c>
      <c r="D239" s="4">
        <v>33250.699999999997</v>
      </c>
      <c r="E239" s="2">
        <v>5</v>
      </c>
      <c r="F239" s="4">
        <v>166253.5</v>
      </c>
      <c r="G239" s="3">
        <v>45584</v>
      </c>
      <c r="H239" s="2" t="s">
        <v>30</v>
      </c>
      <c r="I239" s="2">
        <v>4.3</v>
      </c>
    </row>
    <row r="240" spans="1:9" x14ac:dyDescent="0.3">
      <c r="A240" s="2" t="s">
        <v>285</v>
      </c>
      <c r="B240" s="2" t="s">
        <v>52</v>
      </c>
      <c r="C240" s="2" t="s">
        <v>13</v>
      </c>
      <c r="D240" s="4">
        <v>45045.03</v>
      </c>
      <c r="E240" s="2">
        <v>5</v>
      </c>
      <c r="F240" s="4">
        <v>225225.15</v>
      </c>
      <c r="G240" s="3">
        <v>45659</v>
      </c>
      <c r="H240" s="2" t="s">
        <v>58</v>
      </c>
      <c r="I240" s="2">
        <v>3.8</v>
      </c>
    </row>
    <row r="241" spans="1:9" x14ac:dyDescent="0.3">
      <c r="A241" s="2" t="s">
        <v>286</v>
      </c>
      <c r="B241" s="2" t="s">
        <v>62</v>
      </c>
      <c r="C241" s="2" t="s">
        <v>27</v>
      </c>
      <c r="D241" s="4">
        <v>3955.86</v>
      </c>
      <c r="E241" s="2">
        <v>5</v>
      </c>
      <c r="F241" s="4">
        <v>19779.3</v>
      </c>
      <c r="G241" s="3">
        <v>45461</v>
      </c>
      <c r="H241" s="2" t="s">
        <v>58</v>
      </c>
      <c r="I241" s="2">
        <v>4.7</v>
      </c>
    </row>
    <row r="242" spans="1:9" x14ac:dyDescent="0.3">
      <c r="A242" s="2" t="s">
        <v>287</v>
      </c>
      <c r="B242" s="2" t="s">
        <v>40</v>
      </c>
      <c r="C242" s="2" t="s">
        <v>21</v>
      </c>
      <c r="D242" s="4">
        <v>28169.11</v>
      </c>
      <c r="E242" s="2">
        <v>5</v>
      </c>
      <c r="F242" s="4">
        <v>140845.54999999999</v>
      </c>
      <c r="G242" s="3">
        <v>45416</v>
      </c>
      <c r="H242" s="2" t="s">
        <v>18</v>
      </c>
      <c r="I242" s="2">
        <v>2.7</v>
      </c>
    </row>
    <row r="243" spans="1:9" x14ac:dyDescent="0.3">
      <c r="A243" s="2" t="s">
        <v>288</v>
      </c>
      <c r="B243" s="2" t="s">
        <v>20</v>
      </c>
      <c r="C243" s="2" t="s">
        <v>21</v>
      </c>
      <c r="D243" s="4">
        <v>42785.51</v>
      </c>
      <c r="E243" s="2">
        <v>4</v>
      </c>
      <c r="F243" s="4">
        <v>171142.04</v>
      </c>
      <c r="G243" s="3">
        <v>45609</v>
      </c>
      <c r="H243" s="2" t="s">
        <v>44</v>
      </c>
      <c r="I243" s="2">
        <v>1.7</v>
      </c>
    </row>
    <row r="244" spans="1:9" x14ac:dyDescent="0.3">
      <c r="A244" s="2" t="s">
        <v>289</v>
      </c>
      <c r="B244" s="2" t="s">
        <v>46</v>
      </c>
      <c r="C244" s="2" t="s">
        <v>24</v>
      </c>
      <c r="D244" s="4">
        <v>25614.35</v>
      </c>
      <c r="E244" s="2">
        <v>2</v>
      </c>
      <c r="F244" s="4">
        <v>51228.7</v>
      </c>
      <c r="G244" s="3">
        <v>45516</v>
      </c>
      <c r="H244" s="2" t="s">
        <v>30</v>
      </c>
      <c r="I244" s="2">
        <v>3.5</v>
      </c>
    </row>
    <row r="245" spans="1:9" x14ac:dyDescent="0.3">
      <c r="A245" s="2" t="s">
        <v>290</v>
      </c>
      <c r="B245" s="2" t="s">
        <v>29</v>
      </c>
      <c r="C245" s="2" t="s">
        <v>27</v>
      </c>
      <c r="D245" s="4">
        <v>7771.58</v>
      </c>
      <c r="E245" s="2">
        <v>5</v>
      </c>
      <c r="F245" s="4">
        <v>38857.9</v>
      </c>
      <c r="G245" s="3">
        <v>45521</v>
      </c>
      <c r="H245" s="2" t="s">
        <v>14</v>
      </c>
      <c r="I245" s="2">
        <v>3.6</v>
      </c>
    </row>
    <row r="246" spans="1:9" x14ac:dyDescent="0.3">
      <c r="A246" s="2" t="s">
        <v>291</v>
      </c>
      <c r="B246" s="2" t="s">
        <v>52</v>
      </c>
      <c r="C246" s="2" t="s">
        <v>13</v>
      </c>
      <c r="D246" s="4">
        <v>31059.47</v>
      </c>
      <c r="E246" s="2">
        <v>3</v>
      </c>
      <c r="F246" s="4">
        <v>93178.41</v>
      </c>
      <c r="G246" s="3">
        <v>45427</v>
      </c>
      <c r="H246" s="2" t="s">
        <v>30</v>
      </c>
      <c r="I246" s="2">
        <v>4.8</v>
      </c>
    </row>
    <row r="247" spans="1:9" x14ac:dyDescent="0.3">
      <c r="A247" s="2" t="s">
        <v>292</v>
      </c>
      <c r="B247" s="2" t="s">
        <v>12</v>
      </c>
      <c r="C247" s="2" t="s">
        <v>13</v>
      </c>
      <c r="D247" s="4">
        <v>14506.11</v>
      </c>
      <c r="E247" s="2">
        <v>5</v>
      </c>
      <c r="F247" s="4">
        <v>72530.55</v>
      </c>
      <c r="G247" s="3">
        <v>45459</v>
      </c>
      <c r="H247" s="2" t="s">
        <v>14</v>
      </c>
      <c r="I247" s="2">
        <v>3.5</v>
      </c>
    </row>
    <row r="248" spans="1:9" x14ac:dyDescent="0.3">
      <c r="A248" s="2" t="s">
        <v>293</v>
      </c>
      <c r="B248" s="2" t="s">
        <v>23</v>
      </c>
      <c r="C248" s="2" t="s">
        <v>24</v>
      </c>
      <c r="D248" s="4">
        <v>16272.38</v>
      </c>
      <c r="E248" s="2">
        <v>3</v>
      </c>
      <c r="F248" s="4">
        <v>48817.14</v>
      </c>
      <c r="G248" s="3">
        <v>45458</v>
      </c>
      <c r="H248" s="2" t="s">
        <v>14</v>
      </c>
      <c r="I248" s="2">
        <v>1.4</v>
      </c>
    </row>
    <row r="249" spans="1:9" x14ac:dyDescent="0.3">
      <c r="A249" s="2" t="s">
        <v>294</v>
      </c>
      <c r="B249" s="2" t="s">
        <v>56</v>
      </c>
      <c r="C249" s="2" t="s">
        <v>17</v>
      </c>
      <c r="D249" s="4">
        <v>29222.92</v>
      </c>
      <c r="E249" s="2">
        <v>3</v>
      </c>
      <c r="F249" s="4">
        <v>87668.76</v>
      </c>
      <c r="G249" s="3">
        <v>45581</v>
      </c>
      <c r="H249" s="2" t="s">
        <v>14</v>
      </c>
      <c r="I249" s="2">
        <v>2.7</v>
      </c>
    </row>
    <row r="250" spans="1:9" x14ac:dyDescent="0.3">
      <c r="A250" s="2" t="s">
        <v>295</v>
      </c>
      <c r="B250" s="2" t="s">
        <v>12</v>
      </c>
      <c r="C250" s="2" t="s">
        <v>13</v>
      </c>
      <c r="D250" s="4">
        <v>1483.5</v>
      </c>
      <c r="E250" s="2">
        <v>5</v>
      </c>
      <c r="F250" s="4">
        <v>7417.5</v>
      </c>
      <c r="G250" s="3">
        <v>45600</v>
      </c>
      <c r="H250" s="2" t="s">
        <v>14</v>
      </c>
      <c r="I250" s="2">
        <v>4.3</v>
      </c>
    </row>
    <row r="251" spans="1:9" x14ac:dyDescent="0.3">
      <c r="A251" s="2" t="s">
        <v>296</v>
      </c>
      <c r="B251" s="2" t="s">
        <v>102</v>
      </c>
      <c r="C251" s="2" t="s">
        <v>13</v>
      </c>
      <c r="D251" s="4">
        <v>35629.550000000003</v>
      </c>
      <c r="E251" s="2">
        <v>2</v>
      </c>
      <c r="F251" s="4">
        <v>71259.100000000006</v>
      </c>
      <c r="G251" s="3">
        <v>45689</v>
      </c>
      <c r="H251" s="2" t="s">
        <v>30</v>
      </c>
      <c r="I251" s="2">
        <v>2</v>
      </c>
    </row>
    <row r="252" spans="1:9" x14ac:dyDescent="0.3">
      <c r="A252" s="2" t="s">
        <v>297</v>
      </c>
      <c r="B252" s="2" t="s">
        <v>36</v>
      </c>
      <c r="C252" s="2" t="s">
        <v>17</v>
      </c>
      <c r="D252" s="4">
        <v>1987.98</v>
      </c>
      <c r="E252" s="2">
        <v>4</v>
      </c>
      <c r="F252" s="4">
        <v>7951.92</v>
      </c>
      <c r="G252" s="3">
        <v>45345</v>
      </c>
      <c r="H252" s="2" t="s">
        <v>18</v>
      </c>
      <c r="I252" s="2">
        <v>3.3</v>
      </c>
    </row>
    <row r="253" spans="1:9" x14ac:dyDescent="0.3">
      <c r="A253" s="2" t="s">
        <v>298</v>
      </c>
      <c r="B253" s="2" t="s">
        <v>12</v>
      </c>
      <c r="C253" s="2" t="s">
        <v>13</v>
      </c>
      <c r="D253" s="4">
        <v>37590.44</v>
      </c>
      <c r="E253" s="2">
        <v>4</v>
      </c>
      <c r="F253" s="4">
        <v>150361.76</v>
      </c>
      <c r="G253" s="3">
        <v>45379</v>
      </c>
      <c r="H253" s="2" t="s">
        <v>30</v>
      </c>
      <c r="I253" s="2">
        <v>1.8</v>
      </c>
    </row>
    <row r="254" spans="1:9" x14ac:dyDescent="0.3">
      <c r="A254" s="2" t="s">
        <v>299</v>
      </c>
      <c r="B254" s="2" t="s">
        <v>29</v>
      </c>
      <c r="C254" s="2" t="s">
        <v>27</v>
      </c>
      <c r="D254" s="4">
        <v>31759.49</v>
      </c>
      <c r="E254" s="2">
        <v>4</v>
      </c>
      <c r="F254" s="4">
        <v>127037.96</v>
      </c>
      <c r="G254" s="3">
        <v>45637</v>
      </c>
      <c r="H254" s="2" t="s">
        <v>18</v>
      </c>
      <c r="I254" s="2">
        <v>2</v>
      </c>
    </row>
    <row r="255" spans="1:9" x14ac:dyDescent="0.3">
      <c r="A255" s="2" t="s">
        <v>300</v>
      </c>
      <c r="B255" s="2" t="s">
        <v>77</v>
      </c>
      <c r="C255" s="2" t="s">
        <v>21</v>
      </c>
      <c r="D255" s="4">
        <v>18787.05</v>
      </c>
      <c r="E255" s="2">
        <v>4</v>
      </c>
      <c r="F255" s="4">
        <v>75148.2</v>
      </c>
      <c r="G255" s="3">
        <v>45684</v>
      </c>
      <c r="H255" s="2" t="s">
        <v>49</v>
      </c>
      <c r="I255" s="2">
        <v>1.1000000000000001</v>
      </c>
    </row>
    <row r="256" spans="1:9" x14ac:dyDescent="0.3">
      <c r="A256" s="2" t="s">
        <v>301</v>
      </c>
      <c r="B256" s="2" t="s">
        <v>12</v>
      </c>
      <c r="C256" s="2" t="s">
        <v>13</v>
      </c>
      <c r="D256" s="4">
        <v>17066.16</v>
      </c>
      <c r="E256" s="2">
        <v>1</v>
      </c>
      <c r="F256" s="4">
        <v>17066.16</v>
      </c>
      <c r="G256" s="3">
        <v>45550</v>
      </c>
      <c r="H256" s="2" t="s">
        <v>30</v>
      </c>
      <c r="I256" s="2">
        <v>2.8</v>
      </c>
    </row>
    <row r="257" spans="1:9" x14ac:dyDescent="0.3">
      <c r="A257" s="2" t="s">
        <v>302</v>
      </c>
      <c r="B257" s="2" t="s">
        <v>36</v>
      </c>
      <c r="C257" s="2" t="s">
        <v>17</v>
      </c>
      <c r="D257" s="4">
        <v>15068.72</v>
      </c>
      <c r="E257" s="2">
        <v>4</v>
      </c>
      <c r="F257" s="4">
        <v>60274.879999999997</v>
      </c>
      <c r="G257" s="3">
        <v>45374</v>
      </c>
      <c r="H257" s="2" t="s">
        <v>14</v>
      </c>
      <c r="I257" s="2">
        <v>1.4</v>
      </c>
    </row>
    <row r="258" spans="1:9" x14ac:dyDescent="0.3">
      <c r="A258" s="2" t="s">
        <v>303</v>
      </c>
      <c r="B258" s="2" t="s">
        <v>46</v>
      </c>
      <c r="C258" s="2" t="s">
        <v>24</v>
      </c>
      <c r="D258" s="4">
        <v>44334.11</v>
      </c>
      <c r="E258" s="2">
        <v>3</v>
      </c>
      <c r="F258" s="4">
        <v>133002.32999999999</v>
      </c>
      <c r="G258" s="3">
        <v>45346</v>
      </c>
      <c r="H258" s="2" t="s">
        <v>30</v>
      </c>
      <c r="I258" s="2">
        <v>2.6</v>
      </c>
    </row>
    <row r="259" spans="1:9" x14ac:dyDescent="0.3">
      <c r="A259" s="2" t="s">
        <v>304</v>
      </c>
      <c r="B259" s="2" t="s">
        <v>46</v>
      </c>
      <c r="C259" s="2" t="s">
        <v>24</v>
      </c>
      <c r="D259" s="4">
        <v>11183.75</v>
      </c>
      <c r="E259" s="2">
        <v>1</v>
      </c>
      <c r="F259" s="4">
        <v>11183.75</v>
      </c>
      <c r="G259" s="3">
        <v>45611</v>
      </c>
      <c r="H259" s="2" t="s">
        <v>49</v>
      </c>
      <c r="I259" s="2">
        <v>4.9000000000000004</v>
      </c>
    </row>
    <row r="260" spans="1:9" x14ac:dyDescent="0.3">
      <c r="A260" s="2" t="s">
        <v>305</v>
      </c>
      <c r="B260" s="2" t="s">
        <v>26</v>
      </c>
      <c r="C260" s="2" t="s">
        <v>27</v>
      </c>
      <c r="D260" s="4">
        <v>2923.95</v>
      </c>
      <c r="E260" s="2">
        <v>5</v>
      </c>
      <c r="F260" s="4">
        <v>14619.75</v>
      </c>
      <c r="G260" s="3">
        <v>45520</v>
      </c>
      <c r="H260" s="2" t="s">
        <v>58</v>
      </c>
      <c r="I260" s="2">
        <v>1.1000000000000001</v>
      </c>
    </row>
    <row r="261" spans="1:9" x14ac:dyDescent="0.3">
      <c r="A261" s="2" t="s">
        <v>306</v>
      </c>
      <c r="B261" s="2" t="s">
        <v>77</v>
      </c>
      <c r="C261" s="2" t="s">
        <v>21</v>
      </c>
      <c r="D261" s="4">
        <v>7339.66</v>
      </c>
      <c r="E261" s="2">
        <v>2</v>
      </c>
      <c r="F261" s="4">
        <v>14679.32</v>
      </c>
      <c r="G261" s="3">
        <v>45625</v>
      </c>
      <c r="H261" s="2" t="s">
        <v>58</v>
      </c>
      <c r="I261" s="2">
        <v>1.1000000000000001</v>
      </c>
    </row>
    <row r="262" spans="1:9" x14ac:dyDescent="0.3">
      <c r="A262" s="2" t="s">
        <v>307</v>
      </c>
      <c r="B262" s="2" t="s">
        <v>34</v>
      </c>
      <c r="C262" s="2" t="s">
        <v>27</v>
      </c>
      <c r="D262" s="4">
        <v>41405.370000000003</v>
      </c>
      <c r="E262" s="2">
        <v>2</v>
      </c>
      <c r="F262" s="4">
        <v>82810.740000000005</v>
      </c>
      <c r="G262" s="3">
        <v>45571</v>
      </c>
      <c r="H262" s="2" t="s">
        <v>30</v>
      </c>
      <c r="I262" s="2">
        <v>4.5999999999999996</v>
      </c>
    </row>
    <row r="263" spans="1:9" x14ac:dyDescent="0.3">
      <c r="A263" s="2" t="s">
        <v>308</v>
      </c>
      <c r="B263" s="2" t="s">
        <v>29</v>
      </c>
      <c r="C263" s="2" t="s">
        <v>27</v>
      </c>
      <c r="D263" s="4">
        <v>36114.379999999997</v>
      </c>
      <c r="E263" s="2">
        <v>1</v>
      </c>
      <c r="F263" s="4">
        <v>36114.379999999997</v>
      </c>
      <c r="G263" s="3">
        <v>45536</v>
      </c>
      <c r="H263" s="2" t="s">
        <v>58</v>
      </c>
      <c r="I263" s="2">
        <v>4.5999999999999996</v>
      </c>
    </row>
    <row r="264" spans="1:9" x14ac:dyDescent="0.3">
      <c r="A264" s="2" t="s">
        <v>309</v>
      </c>
      <c r="B264" s="2" t="s">
        <v>46</v>
      </c>
      <c r="C264" s="2" t="s">
        <v>24</v>
      </c>
      <c r="D264" s="4">
        <v>19915.59</v>
      </c>
      <c r="E264" s="2">
        <v>5</v>
      </c>
      <c r="F264" s="4">
        <v>99577.95</v>
      </c>
      <c r="G264" s="3">
        <v>45541</v>
      </c>
      <c r="H264" s="2" t="s">
        <v>44</v>
      </c>
      <c r="I264" s="2">
        <v>1.2</v>
      </c>
    </row>
    <row r="265" spans="1:9" x14ac:dyDescent="0.3">
      <c r="A265" s="2" t="s">
        <v>310</v>
      </c>
      <c r="B265" s="2" t="s">
        <v>46</v>
      </c>
      <c r="C265" s="2" t="s">
        <v>24</v>
      </c>
      <c r="D265" s="4">
        <v>18366.97</v>
      </c>
      <c r="E265" s="2">
        <v>4</v>
      </c>
      <c r="F265" s="4">
        <v>73467.88</v>
      </c>
      <c r="G265" s="3">
        <v>45434</v>
      </c>
      <c r="H265" s="2" t="s">
        <v>44</v>
      </c>
      <c r="I265" s="2">
        <v>1.2</v>
      </c>
    </row>
    <row r="266" spans="1:9" x14ac:dyDescent="0.3">
      <c r="A266" s="2" t="s">
        <v>311</v>
      </c>
      <c r="B266" s="2" t="s">
        <v>46</v>
      </c>
      <c r="C266" s="2" t="s">
        <v>24</v>
      </c>
      <c r="D266" s="4">
        <v>8563.14</v>
      </c>
      <c r="E266" s="2">
        <v>2</v>
      </c>
      <c r="F266" s="4">
        <v>17126.28</v>
      </c>
      <c r="G266" s="3">
        <v>45354</v>
      </c>
      <c r="H266" s="2" t="s">
        <v>44</v>
      </c>
      <c r="I266" s="2">
        <v>3.1</v>
      </c>
    </row>
    <row r="267" spans="1:9" x14ac:dyDescent="0.3">
      <c r="A267" s="2" t="s">
        <v>312</v>
      </c>
      <c r="B267" s="2" t="s">
        <v>71</v>
      </c>
      <c r="C267" s="2" t="s">
        <v>21</v>
      </c>
      <c r="D267" s="4">
        <v>40461.79</v>
      </c>
      <c r="E267" s="2">
        <v>1</v>
      </c>
      <c r="F267" s="4">
        <v>40461.79</v>
      </c>
      <c r="G267" s="3">
        <v>45431</v>
      </c>
      <c r="H267" s="2" t="s">
        <v>49</v>
      </c>
      <c r="I267" s="2">
        <v>4.9000000000000004</v>
      </c>
    </row>
    <row r="268" spans="1:9" x14ac:dyDescent="0.3">
      <c r="A268" s="2" t="s">
        <v>313</v>
      </c>
      <c r="B268" s="2" t="s">
        <v>36</v>
      </c>
      <c r="C268" s="2" t="s">
        <v>17</v>
      </c>
      <c r="D268" s="4">
        <v>6943.4</v>
      </c>
      <c r="E268" s="2">
        <v>5</v>
      </c>
      <c r="F268" s="4">
        <v>34717</v>
      </c>
      <c r="G268" s="3">
        <v>45489</v>
      </c>
      <c r="H268" s="2" t="s">
        <v>14</v>
      </c>
      <c r="I268" s="2">
        <v>1.5</v>
      </c>
    </row>
    <row r="269" spans="1:9" x14ac:dyDescent="0.3">
      <c r="A269" s="2" t="s">
        <v>314</v>
      </c>
      <c r="B269" s="2" t="s">
        <v>77</v>
      </c>
      <c r="C269" s="2" t="s">
        <v>21</v>
      </c>
      <c r="D269" s="4">
        <v>14517.08</v>
      </c>
      <c r="E269" s="2">
        <v>1</v>
      </c>
      <c r="F269" s="4">
        <v>14517.08</v>
      </c>
      <c r="G269" s="3">
        <v>45431</v>
      </c>
      <c r="H269" s="2" t="s">
        <v>18</v>
      </c>
      <c r="I269" s="2">
        <v>3</v>
      </c>
    </row>
    <row r="270" spans="1:9" x14ac:dyDescent="0.3">
      <c r="A270" s="2" t="s">
        <v>315</v>
      </c>
      <c r="B270" s="2" t="s">
        <v>38</v>
      </c>
      <c r="C270" s="2" t="s">
        <v>24</v>
      </c>
      <c r="D270" s="4">
        <v>4248.25</v>
      </c>
      <c r="E270" s="2">
        <v>5</v>
      </c>
      <c r="F270" s="4">
        <v>21241.25</v>
      </c>
      <c r="G270" s="3">
        <v>45492</v>
      </c>
      <c r="H270" s="2" t="s">
        <v>30</v>
      </c>
      <c r="I270" s="2">
        <v>4.0999999999999996</v>
      </c>
    </row>
    <row r="271" spans="1:9" x14ac:dyDescent="0.3">
      <c r="A271" s="2" t="s">
        <v>316</v>
      </c>
      <c r="B271" s="2" t="s">
        <v>29</v>
      </c>
      <c r="C271" s="2" t="s">
        <v>27</v>
      </c>
      <c r="D271" s="4">
        <v>43118.73</v>
      </c>
      <c r="E271" s="2">
        <v>5</v>
      </c>
      <c r="F271" s="4">
        <v>215593.65</v>
      </c>
      <c r="G271" s="3">
        <v>45638</v>
      </c>
      <c r="H271" s="2" t="s">
        <v>14</v>
      </c>
      <c r="I271" s="2">
        <v>3.1</v>
      </c>
    </row>
    <row r="272" spans="1:9" x14ac:dyDescent="0.3">
      <c r="A272" s="2" t="s">
        <v>317</v>
      </c>
      <c r="B272" s="2" t="s">
        <v>153</v>
      </c>
      <c r="C272" s="2" t="s">
        <v>17</v>
      </c>
      <c r="D272" s="4">
        <v>10086.76</v>
      </c>
      <c r="E272" s="2">
        <v>2</v>
      </c>
      <c r="F272" s="4">
        <v>20173.52</v>
      </c>
      <c r="G272" s="3">
        <v>45377</v>
      </c>
      <c r="H272" s="2" t="s">
        <v>30</v>
      </c>
      <c r="I272" s="2">
        <v>1.9</v>
      </c>
    </row>
    <row r="273" spans="1:9" x14ac:dyDescent="0.3">
      <c r="A273" s="2" t="s">
        <v>318</v>
      </c>
      <c r="B273" s="2" t="s">
        <v>20</v>
      </c>
      <c r="C273" s="2" t="s">
        <v>21</v>
      </c>
      <c r="D273" s="4">
        <v>35373.5</v>
      </c>
      <c r="E273" s="2">
        <v>4</v>
      </c>
      <c r="F273" s="4">
        <v>141494</v>
      </c>
      <c r="G273" s="3">
        <v>45513</v>
      </c>
      <c r="H273" s="2" t="s">
        <v>49</v>
      </c>
      <c r="I273" s="2">
        <v>2.9</v>
      </c>
    </row>
    <row r="274" spans="1:9" x14ac:dyDescent="0.3">
      <c r="A274" s="2" t="s">
        <v>319</v>
      </c>
      <c r="B274" s="2" t="s">
        <v>34</v>
      </c>
      <c r="C274" s="2" t="s">
        <v>27</v>
      </c>
      <c r="D274" s="4">
        <v>43002.68</v>
      </c>
      <c r="E274" s="2">
        <v>3</v>
      </c>
      <c r="F274" s="4">
        <v>129008.04</v>
      </c>
      <c r="G274" s="3">
        <v>45387</v>
      </c>
      <c r="H274" s="2" t="s">
        <v>18</v>
      </c>
      <c r="I274" s="2">
        <v>4.2</v>
      </c>
    </row>
    <row r="275" spans="1:9" x14ac:dyDescent="0.3">
      <c r="A275" s="2" t="s">
        <v>320</v>
      </c>
      <c r="B275" s="2" t="s">
        <v>73</v>
      </c>
      <c r="C275" s="2" t="s">
        <v>24</v>
      </c>
      <c r="D275" s="4">
        <v>46388.81</v>
      </c>
      <c r="E275" s="2">
        <v>1</v>
      </c>
      <c r="F275" s="4">
        <v>46388.81</v>
      </c>
      <c r="G275" s="3">
        <v>45343</v>
      </c>
      <c r="H275" s="2" t="s">
        <v>44</v>
      </c>
      <c r="I275" s="2">
        <v>4.4000000000000004</v>
      </c>
    </row>
    <row r="276" spans="1:9" x14ac:dyDescent="0.3">
      <c r="A276" s="2" t="s">
        <v>321</v>
      </c>
      <c r="B276" s="2" t="s">
        <v>52</v>
      </c>
      <c r="C276" s="2" t="s">
        <v>13</v>
      </c>
      <c r="D276" s="4">
        <v>47384.51</v>
      </c>
      <c r="E276" s="2">
        <v>3</v>
      </c>
      <c r="F276" s="4">
        <v>142153.53</v>
      </c>
      <c r="G276" s="3">
        <v>45441</v>
      </c>
      <c r="H276" s="2" t="s">
        <v>58</v>
      </c>
      <c r="I276" s="2">
        <v>1.5</v>
      </c>
    </row>
    <row r="277" spans="1:9" x14ac:dyDescent="0.3">
      <c r="A277" s="2" t="s">
        <v>322</v>
      </c>
      <c r="B277" s="2" t="s">
        <v>36</v>
      </c>
      <c r="C277" s="2" t="s">
        <v>17</v>
      </c>
      <c r="D277" s="4">
        <v>15826.47</v>
      </c>
      <c r="E277" s="2">
        <v>2</v>
      </c>
      <c r="F277" s="4">
        <v>31652.94</v>
      </c>
      <c r="G277" s="3">
        <v>45486</v>
      </c>
      <c r="H277" s="2" t="s">
        <v>58</v>
      </c>
      <c r="I277" s="2">
        <v>4.4000000000000004</v>
      </c>
    </row>
    <row r="278" spans="1:9" x14ac:dyDescent="0.3">
      <c r="A278" s="2" t="s">
        <v>323</v>
      </c>
      <c r="B278" s="2" t="s">
        <v>77</v>
      </c>
      <c r="C278" s="2" t="s">
        <v>21</v>
      </c>
      <c r="D278" s="4">
        <v>33927.57</v>
      </c>
      <c r="E278" s="2">
        <v>5</v>
      </c>
      <c r="F278" s="4">
        <v>169637.85</v>
      </c>
      <c r="G278" s="3">
        <v>45690</v>
      </c>
      <c r="H278" s="2" t="s">
        <v>30</v>
      </c>
      <c r="I278" s="2">
        <v>2.6</v>
      </c>
    </row>
    <row r="279" spans="1:9" x14ac:dyDescent="0.3">
      <c r="A279" s="2" t="s">
        <v>324</v>
      </c>
      <c r="B279" s="2" t="s">
        <v>38</v>
      </c>
      <c r="C279" s="2" t="s">
        <v>24</v>
      </c>
      <c r="D279" s="4">
        <v>27400.84</v>
      </c>
      <c r="E279" s="2">
        <v>1</v>
      </c>
      <c r="F279" s="4">
        <v>27400.84</v>
      </c>
      <c r="G279" s="3">
        <v>45695</v>
      </c>
      <c r="H279" s="2" t="s">
        <v>58</v>
      </c>
      <c r="I279" s="2">
        <v>3.6</v>
      </c>
    </row>
    <row r="280" spans="1:9" x14ac:dyDescent="0.3">
      <c r="A280" s="2" t="s">
        <v>325</v>
      </c>
      <c r="B280" s="2" t="s">
        <v>38</v>
      </c>
      <c r="C280" s="2" t="s">
        <v>24</v>
      </c>
      <c r="D280" s="4">
        <v>37684.28</v>
      </c>
      <c r="E280" s="2">
        <v>4</v>
      </c>
      <c r="F280" s="4">
        <v>150737.12</v>
      </c>
      <c r="G280" s="3">
        <v>45384</v>
      </c>
      <c r="H280" s="2" t="s">
        <v>44</v>
      </c>
      <c r="I280" s="2">
        <v>3.2</v>
      </c>
    </row>
    <row r="281" spans="1:9" x14ac:dyDescent="0.3">
      <c r="A281" s="2" t="s">
        <v>326</v>
      </c>
      <c r="B281" s="2" t="s">
        <v>32</v>
      </c>
      <c r="C281" s="2" t="s">
        <v>17</v>
      </c>
      <c r="D281" s="4">
        <v>22968.18</v>
      </c>
      <c r="E281" s="2">
        <v>4</v>
      </c>
      <c r="F281" s="4">
        <v>91872.72</v>
      </c>
      <c r="G281" s="3">
        <v>45680</v>
      </c>
      <c r="H281" s="2" t="s">
        <v>58</v>
      </c>
      <c r="I281" s="2">
        <v>4.0999999999999996</v>
      </c>
    </row>
    <row r="282" spans="1:9" x14ac:dyDescent="0.3">
      <c r="A282" s="2" t="s">
        <v>327</v>
      </c>
      <c r="B282" s="2" t="s">
        <v>122</v>
      </c>
      <c r="C282" s="2" t="s">
        <v>27</v>
      </c>
      <c r="D282" s="4">
        <v>43444.93</v>
      </c>
      <c r="E282" s="2">
        <v>1</v>
      </c>
      <c r="F282" s="4">
        <v>43444.93</v>
      </c>
      <c r="G282" s="3">
        <v>45667</v>
      </c>
      <c r="H282" s="2" t="s">
        <v>30</v>
      </c>
      <c r="I282" s="2">
        <v>4</v>
      </c>
    </row>
    <row r="283" spans="1:9" x14ac:dyDescent="0.3">
      <c r="A283" s="2" t="s">
        <v>328</v>
      </c>
      <c r="B283" s="2" t="s">
        <v>84</v>
      </c>
      <c r="C283" s="2" t="s">
        <v>24</v>
      </c>
      <c r="D283" s="4">
        <v>36083.22</v>
      </c>
      <c r="E283" s="2">
        <v>3</v>
      </c>
      <c r="F283" s="4">
        <v>108249.66</v>
      </c>
      <c r="G283" s="3">
        <v>45498</v>
      </c>
      <c r="H283" s="2" t="s">
        <v>49</v>
      </c>
      <c r="I283" s="2">
        <v>2.9</v>
      </c>
    </row>
    <row r="284" spans="1:9" x14ac:dyDescent="0.3">
      <c r="A284" s="2" t="s">
        <v>329</v>
      </c>
      <c r="B284" s="2" t="s">
        <v>26</v>
      </c>
      <c r="C284" s="2" t="s">
        <v>27</v>
      </c>
      <c r="D284" s="4">
        <v>43043.82</v>
      </c>
      <c r="E284" s="2">
        <v>5</v>
      </c>
      <c r="F284" s="4">
        <v>215219.1</v>
      </c>
      <c r="G284" s="3">
        <v>45605</v>
      </c>
      <c r="H284" s="2" t="s">
        <v>30</v>
      </c>
      <c r="I284" s="2">
        <v>4.0999999999999996</v>
      </c>
    </row>
    <row r="285" spans="1:9" x14ac:dyDescent="0.3">
      <c r="A285" s="2" t="s">
        <v>330</v>
      </c>
      <c r="B285" s="2" t="s">
        <v>23</v>
      </c>
      <c r="C285" s="2" t="s">
        <v>24</v>
      </c>
      <c r="D285" s="4">
        <v>1517.63</v>
      </c>
      <c r="E285" s="2">
        <v>4</v>
      </c>
      <c r="F285" s="4">
        <v>6070.52</v>
      </c>
      <c r="G285" s="3">
        <v>45606</v>
      </c>
      <c r="H285" s="2" t="s">
        <v>44</v>
      </c>
      <c r="I285" s="2">
        <v>2</v>
      </c>
    </row>
    <row r="286" spans="1:9" x14ac:dyDescent="0.3">
      <c r="A286" s="2" t="s">
        <v>331</v>
      </c>
      <c r="B286" s="2" t="s">
        <v>95</v>
      </c>
      <c r="C286" s="2" t="s">
        <v>13</v>
      </c>
      <c r="D286" s="4">
        <v>1626.1</v>
      </c>
      <c r="E286" s="2">
        <v>5</v>
      </c>
      <c r="F286" s="4">
        <v>8130.5</v>
      </c>
      <c r="G286" s="3">
        <v>45611</v>
      </c>
      <c r="H286" s="2" t="s">
        <v>49</v>
      </c>
      <c r="I286" s="2">
        <v>2.8</v>
      </c>
    </row>
    <row r="287" spans="1:9" x14ac:dyDescent="0.3">
      <c r="A287" s="2" t="s">
        <v>332</v>
      </c>
      <c r="B287" s="2" t="s">
        <v>56</v>
      </c>
      <c r="C287" s="2" t="s">
        <v>17</v>
      </c>
      <c r="D287" s="4">
        <v>40384.620000000003</v>
      </c>
      <c r="E287" s="2">
        <v>1</v>
      </c>
      <c r="F287" s="4">
        <v>40384.620000000003</v>
      </c>
      <c r="G287" s="3">
        <v>45409</v>
      </c>
      <c r="H287" s="2" t="s">
        <v>18</v>
      </c>
      <c r="I287" s="2">
        <v>4.2</v>
      </c>
    </row>
    <row r="288" spans="1:9" x14ac:dyDescent="0.3">
      <c r="A288" s="2" t="s">
        <v>333</v>
      </c>
      <c r="B288" s="2" t="s">
        <v>56</v>
      </c>
      <c r="C288" s="2" t="s">
        <v>17</v>
      </c>
      <c r="D288" s="4">
        <v>37295.08</v>
      </c>
      <c r="E288" s="2">
        <v>1</v>
      </c>
      <c r="F288" s="4">
        <v>37295.08</v>
      </c>
      <c r="G288" s="3">
        <v>45694</v>
      </c>
      <c r="H288" s="2" t="s">
        <v>18</v>
      </c>
      <c r="I288" s="2">
        <v>4</v>
      </c>
    </row>
    <row r="289" spans="1:9" x14ac:dyDescent="0.3">
      <c r="A289" s="2" t="s">
        <v>334</v>
      </c>
      <c r="B289" s="2" t="s">
        <v>32</v>
      </c>
      <c r="C289" s="2" t="s">
        <v>17</v>
      </c>
      <c r="D289" s="4">
        <v>13915.5</v>
      </c>
      <c r="E289" s="2">
        <v>3</v>
      </c>
      <c r="F289" s="4">
        <v>41746.5</v>
      </c>
      <c r="G289" s="3">
        <v>45475</v>
      </c>
      <c r="H289" s="2" t="s">
        <v>58</v>
      </c>
      <c r="I289" s="2">
        <v>3.9</v>
      </c>
    </row>
    <row r="290" spans="1:9" x14ac:dyDescent="0.3">
      <c r="A290" s="2" t="s">
        <v>335</v>
      </c>
      <c r="B290" s="2" t="s">
        <v>46</v>
      </c>
      <c r="C290" s="2" t="s">
        <v>24</v>
      </c>
      <c r="D290" s="4">
        <v>23625.05</v>
      </c>
      <c r="E290" s="2">
        <v>2</v>
      </c>
      <c r="F290" s="4">
        <v>47250.1</v>
      </c>
      <c r="G290" s="3">
        <v>45480</v>
      </c>
      <c r="H290" s="2" t="s">
        <v>14</v>
      </c>
      <c r="I290" s="2">
        <v>2</v>
      </c>
    </row>
    <row r="291" spans="1:9" x14ac:dyDescent="0.3">
      <c r="A291" s="2" t="s">
        <v>336</v>
      </c>
      <c r="B291" s="2" t="s">
        <v>29</v>
      </c>
      <c r="C291" s="2" t="s">
        <v>27</v>
      </c>
      <c r="D291" s="4">
        <v>464.18</v>
      </c>
      <c r="E291" s="2">
        <v>3</v>
      </c>
      <c r="F291" s="4">
        <v>1392.54</v>
      </c>
      <c r="G291" s="3">
        <v>45506</v>
      </c>
      <c r="H291" s="2" t="s">
        <v>14</v>
      </c>
      <c r="I291" s="2">
        <v>4.0999999999999996</v>
      </c>
    </row>
    <row r="292" spans="1:9" x14ac:dyDescent="0.3">
      <c r="A292" s="2" t="s">
        <v>337</v>
      </c>
      <c r="B292" s="2" t="s">
        <v>56</v>
      </c>
      <c r="C292" s="2" t="s">
        <v>17</v>
      </c>
      <c r="D292" s="4">
        <v>26667.15</v>
      </c>
      <c r="E292" s="2">
        <v>2</v>
      </c>
      <c r="F292" s="4">
        <v>53334.3</v>
      </c>
      <c r="G292" s="3">
        <v>45601</v>
      </c>
      <c r="H292" s="2" t="s">
        <v>49</v>
      </c>
      <c r="I292" s="2">
        <v>1.9</v>
      </c>
    </row>
    <row r="293" spans="1:9" x14ac:dyDescent="0.3">
      <c r="A293" s="2" t="s">
        <v>338</v>
      </c>
      <c r="B293" s="2" t="s">
        <v>95</v>
      </c>
      <c r="C293" s="2" t="s">
        <v>13</v>
      </c>
      <c r="D293" s="4">
        <v>29093.02</v>
      </c>
      <c r="E293" s="2">
        <v>2</v>
      </c>
      <c r="F293" s="4">
        <v>58186.04</v>
      </c>
      <c r="G293" s="3">
        <v>45597</v>
      </c>
      <c r="H293" s="2" t="s">
        <v>14</v>
      </c>
      <c r="I293" s="2">
        <v>3.7</v>
      </c>
    </row>
    <row r="294" spans="1:9" x14ac:dyDescent="0.3">
      <c r="A294" s="2" t="s">
        <v>339</v>
      </c>
      <c r="B294" s="2" t="s">
        <v>36</v>
      </c>
      <c r="C294" s="2" t="s">
        <v>17</v>
      </c>
      <c r="D294" s="4">
        <v>44770.65</v>
      </c>
      <c r="E294" s="2">
        <v>3</v>
      </c>
      <c r="F294" s="4">
        <v>134311.95000000001</v>
      </c>
      <c r="G294" s="3">
        <v>45638</v>
      </c>
      <c r="H294" s="2" t="s">
        <v>30</v>
      </c>
      <c r="I294" s="2">
        <v>3.5</v>
      </c>
    </row>
    <row r="295" spans="1:9" x14ac:dyDescent="0.3">
      <c r="A295" s="2" t="s">
        <v>340</v>
      </c>
      <c r="B295" s="2" t="s">
        <v>62</v>
      </c>
      <c r="C295" s="2" t="s">
        <v>27</v>
      </c>
      <c r="D295" s="4">
        <v>32749.9</v>
      </c>
      <c r="E295" s="2">
        <v>1</v>
      </c>
      <c r="F295" s="4">
        <v>32749.9</v>
      </c>
      <c r="G295" s="3">
        <v>45506</v>
      </c>
      <c r="H295" s="2" t="s">
        <v>58</v>
      </c>
      <c r="I295" s="2">
        <v>3.8</v>
      </c>
    </row>
    <row r="296" spans="1:9" x14ac:dyDescent="0.3">
      <c r="A296" s="2" t="s">
        <v>341</v>
      </c>
      <c r="B296" s="2" t="s">
        <v>12</v>
      </c>
      <c r="C296" s="2" t="s">
        <v>13</v>
      </c>
      <c r="D296" s="4">
        <v>4990.66</v>
      </c>
      <c r="E296" s="2">
        <v>3</v>
      </c>
      <c r="F296" s="4">
        <v>14971.98</v>
      </c>
      <c r="G296" s="3">
        <v>45442</v>
      </c>
      <c r="H296" s="2" t="s">
        <v>30</v>
      </c>
      <c r="I296" s="2">
        <v>4.5999999999999996</v>
      </c>
    </row>
    <row r="297" spans="1:9" x14ac:dyDescent="0.3">
      <c r="A297" s="2" t="s">
        <v>342</v>
      </c>
      <c r="B297" s="2" t="s">
        <v>56</v>
      </c>
      <c r="C297" s="2" t="s">
        <v>17</v>
      </c>
      <c r="D297" s="4">
        <v>11044.89</v>
      </c>
      <c r="E297" s="2">
        <v>3</v>
      </c>
      <c r="F297" s="4">
        <v>33134.67</v>
      </c>
      <c r="G297" s="3">
        <v>45621</v>
      </c>
      <c r="H297" s="2" t="s">
        <v>30</v>
      </c>
      <c r="I297" s="2">
        <v>1.5</v>
      </c>
    </row>
    <row r="298" spans="1:9" x14ac:dyDescent="0.3">
      <c r="A298" s="2" t="s">
        <v>343</v>
      </c>
      <c r="B298" s="2" t="s">
        <v>95</v>
      </c>
      <c r="C298" s="2" t="s">
        <v>13</v>
      </c>
      <c r="D298" s="4">
        <v>46032.160000000003</v>
      </c>
      <c r="E298" s="2">
        <v>5</v>
      </c>
      <c r="F298" s="4">
        <v>230160.8</v>
      </c>
      <c r="G298" s="3">
        <v>45634</v>
      </c>
      <c r="H298" s="2" t="s">
        <v>14</v>
      </c>
      <c r="I298" s="2">
        <v>4.4000000000000004</v>
      </c>
    </row>
    <row r="299" spans="1:9" x14ac:dyDescent="0.3">
      <c r="A299" s="2" t="s">
        <v>344</v>
      </c>
      <c r="B299" s="2" t="s">
        <v>12</v>
      </c>
      <c r="C299" s="2" t="s">
        <v>13</v>
      </c>
      <c r="D299" s="4">
        <v>43965.67</v>
      </c>
      <c r="E299" s="2">
        <v>3</v>
      </c>
      <c r="F299" s="4">
        <v>131897.01</v>
      </c>
      <c r="G299" s="3">
        <v>45529</v>
      </c>
      <c r="H299" s="2" t="s">
        <v>14</v>
      </c>
      <c r="I299" s="2">
        <v>1.1000000000000001</v>
      </c>
    </row>
    <row r="300" spans="1:9" x14ac:dyDescent="0.3">
      <c r="A300" s="2" t="s">
        <v>345</v>
      </c>
      <c r="B300" s="2" t="s">
        <v>56</v>
      </c>
      <c r="C300" s="2" t="s">
        <v>17</v>
      </c>
      <c r="D300" s="4">
        <v>6037.98</v>
      </c>
      <c r="E300" s="2">
        <v>2</v>
      </c>
      <c r="F300" s="4">
        <v>12075.96</v>
      </c>
      <c r="G300" s="3">
        <v>45437</v>
      </c>
      <c r="H300" s="2" t="s">
        <v>44</v>
      </c>
      <c r="I300" s="2">
        <v>3.6</v>
      </c>
    </row>
    <row r="301" spans="1:9" x14ac:dyDescent="0.3">
      <c r="A301" s="2" t="s">
        <v>346</v>
      </c>
      <c r="B301" s="2" t="s">
        <v>48</v>
      </c>
      <c r="C301" s="2" t="s">
        <v>13</v>
      </c>
      <c r="D301" s="4">
        <v>22747.82</v>
      </c>
      <c r="E301" s="2">
        <v>3</v>
      </c>
      <c r="F301" s="4">
        <v>68243.460000000006</v>
      </c>
      <c r="G301" s="3">
        <v>45555</v>
      </c>
      <c r="H301" s="2" t="s">
        <v>14</v>
      </c>
      <c r="I301" s="2">
        <v>4.5</v>
      </c>
    </row>
    <row r="302" spans="1:9" x14ac:dyDescent="0.3">
      <c r="A302" s="2" t="s">
        <v>347</v>
      </c>
      <c r="B302" s="2" t="s">
        <v>84</v>
      </c>
      <c r="C302" s="2" t="s">
        <v>24</v>
      </c>
      <c r="D302" s="4">
        <v>26615.919999999998</v>
      </c>
      <c r="E302" s="2">
        <v>2</v>
      </c>
      <c r="F302" s="4">
        <v>53231.839999999997</v>
      </c>
      <c r="G302" s="3">
        <v>45464</v>
      </c>
      <c r="H302" s="2" t="s">
        <v>44</v>
      </c>
      <c r="I302" s="2">
        <v>2.2999999999999998</v>
      </c>
    </row>
    <row r="303" spans="1:9" x14ac:dyDescent="0.3">
      <c r="A303" s="2" t="s">
        <v>348</v>
      </c>
      <c r="B303" s="2" t="s">
        <v>20</v>
      </c>
      <c r="C303" s="2" t="s">
        <v>21</v>
      </c>
      <c r="D303" s="4">
        <v>48234.31</v>
      </c>
      <c r="E303" s="2">
        <v>2</v>
      </c>
      <c r="F303" s="4">
        <v>96468.62</v>
      </c>
      <c r="G303" s="3">
        <v>45481</v>
      </c>
      <c r="H303" s="2" t="s">
        <v>14</v>
      </c>
      <c r="I303" s="2">
        <v>1.8</v>
      </c>
    </row>
    <row r="304" spans="1:9" x14ac:dyDescent="0.3">
      <c r="A304" s="2" t="s">
        <v>349</v>
      </c>
      <c r="B304" s="2" t="s">
        <v>34</v>
      </c>
      <c r="C304" s="2" t="s">
        <v>27</v>
      </c>
      <c r="D304" s="4">
        <v>24172.560000000001</v>
      </c>
      <c r="E304" s="2">
        <v>1</v>
      </c>
      <c r="F304" s="4">
        <v>24172.560000000001</v>
      </c>
      <c r="G304" s="3">
        <v>45646</v>
      </c>
      <c r="H304" s="2" t="s">
        <v>18</v>
      </c>
      <c r="I304" s="2">
        <v>3.1</v>
      </c>
    </row>
    <row r="305" spans="1:9" x14ac:dyDescent="0.3">
      <c r="A305" s="2" t="s">
        <v>350</v>
      </c>
      <c r="B305" s="2" t="s">
        <v>95</v>
      </c>
      <c r="C305" s="2" t="s">
        <v>13</v>
      </c>
      <c r="D305" s="4">
        <v>16385.37</v>
      </c>
      <c r="E305" s="2">
        <v>3</v>
      </c>
      <c r="F305" s="4">
        <v>49156.11</v>
      </c>
      <c r="G305" s="3">
        <v>45346</v>
      </c>
      <c r="H305" s="2" t="s">
        <v>30</v>
      </c>
      <c r="I305" s="2">
        <v>1.6</v>
      </c>
    </row>
    <row r="306" spans="1:9" x14ac:dyDescent="0.3">
      <c r="A306" s="2" t="s">
        <v>351</v>
      </c>
      <c r="B306" s="2" t="s">
        <v>56</v>
      </c>
      <c r="C306" s="2" t="s">
        <v>17</v>
      </c>
      <c r="D306" s="4">
        <v>29527.22</v>
      </c>
      <c r="E306" s="2">
        <v>3</v>
      </c>
      <c r="F306" s="4">
        <v>88581.66</v>
      </c>
      <c r="G306" s="3">
        <v>45381</v>
      </c>
      <c r="H306" s="2" t="s">
        <v>44</v>
      </c>
      <c r="I306" s="2">
        <v>1.2</v>
      </c>
    </row>
    <row r="307" spans="1:9" x14ac:dyDescent="0.3">
      <c r="A307" s="2" t="s">
        <v>352</v>
      </c>
      <c r="B307" s="2" t="s">
        <v>34</v>
      </c>
      <c r="C307" s="2" t="s">
        <v>27</v>
      </c>
      <c r="D307" s="4">
        <v>42516.65</v>
      </c>
      <c r="E307" s="2">
        <v>3</v>
      </c>
      <c r="F307" s="4">
        <v>127549.95</v>
      </c>
      <c r="G307" s="3">
        <v>45410</v>
      </c>
      <c r="H307" s="2" t="s">
        <v>58</v>
      </c>
      <c r="I307" s="2">
        <v>1.8</v>
      </c>
    </row>
    <row r="308" spans="1:9" x14ac:dyDescent="0.3">
      <c r="A308" s="2" t="s">
        <v>353</v>
      </c>
      <c r="B308" s="2" t="s">
        <v>48</v>
      </c>
      <c r="C308" s="2" t="s">
        <v>13</v>
      </c>
      <c r="D308" s="4">
        <v>27175.37</v>
      </c>
      <c r="E308" s="2">
        <v>5</v>
      </c>
      <c r="F308" s="4">
        <v>135876.85</v>
      </c>
      <c r="G308" s="3">
        <v>45506</v>
      </c>
      <c r="H308" s="2" t="s">
        <v>44</v>
      </c>
      <c r="I308" s="2">
        <v>3.9</v>
      </c>
    </row>
    <row r="309" spans="1:9" x14ac:dyDescent="0.3">
      <c r="A309" s="2" t="s">
        <v>354</v>
      </c>
      <c r="B309" s="2" t="s">
        <v>153</v>
      </c>
      <c r="C309" s="2" t="s">
        <v>17</v>
      </c>
      <c r="D309" s="4">
        <v>25379.68</v>
      </c>
      <c r="E309" s="2">
        <v>4</v>
      </c>
      <c r="F309" s="4">
        <v>101518.72</v>
      </c>
      <c r="G309" s="3">
        <v>45571</v>
      </c>
      <c r="H309" s="2" t="s">
        <v>30</v>
      </c>
      <c r="I309" s="2">
        <v>3.5</v>
      </c>
    </row>
    <row r="310" spans="1:9" x14ac:dyDescent="0.3">
      <c r="A310" s="2" t="s">
        <v>355</v>
      </c>
      <c r="B310" s="2" t="s">
        <v>12</v>
      </c>
      <c r="C310" s="2" t="s">
        <v>13</v>
      </c>
      <c r="D310" s="4">
        <v>29568.18</v>
      </c>
      <c r="E310" s="2">
        <v>3</v>
      </c>
      <c r="F310" s="4">
        <v>88704.54</v>
      </c>
      <c r="G310" s="3">
        <v>45669</v>
      </c>
      <c r="H310" s="2" t="s">
        <v>49</v>
      </c>
      <c r="I310" s="2">
        <v>1.3</v>
      </c>
    </row>
    <row r="311" spans="1:9" x14ac:dyDescent="0.3">
      <c r="A311" s="2" t="s">
        <v>356</v>
      </c>
      <c r="B311" s="2" t="s">
        <v>95</v>
      </c>
      <c r="C311" s="2" t="s">
        <v>13</v>
      </c>
      <c r="D311" s="4">
        <v>23562.27</v>
      </c>
      <c r="E311" s="2">
        <v>2</v>
      </c>
      <c r="F311" s="4">
        <v>47124.54</v>
      </c>
      <c r="G311" s="3">
        <v>45649</v>
      </c>
      <c r="H311" s="2" t="s">
        <v>49</v>
      </c>
      <c r="I311" s="2">
        <v>4.9000000000000004</v>
      </c>
    </row>
    <row r="312" spans="1:9" x14ac:dyDescent="0.3">
      <c r="A312" s="2" t="s">
        <v>357</v>
      </c>
      <c r="B312" s="2" t="s">
        <v>153</v>
      </c>
      <c r="C312" s="2" t="s">
        <v>17</v>
      </c>
      <c r="D312" s="4">
        <v>19134.259999999998</v>
      </c>
      <c r="E312" s="2">
        <v>2</v>
      </c>
      <c r="F312" s="4">
        <v>38268.519999999997</v>
      </c>
      <c r="G312" s="3">
        <v>45334</v>
      </c>
      <c r="H312" s="2" t="s">
        <v>44</v>
      </c>
      <c r="I312" s="2">
        <v>4.5999999999999996</v>
      </c>
    </row>
    <row r="313" spans="1:9" x14ac:dyDescent="0.3">
      <c r="A313" s="2" t="s">
        <v>358</v>
      </c>
      <c r="B313" s="2" t="s">
        <v>95</v>
      </c>
      <c r="C313" s="2" t="s">
        <v>13</v>
      </c>
      <c r="D313" s="4">
        <v>10176.11</v>
      </c>
      <c r="E313" s="2">
        <v>5</v>
      </c>
      <c r="F313" s="4">
        <v>50880.55</v>
      </c>
      <c r="G313" s="3">
        <v>45521</v>
      </c>
      <c r="H313" s="2" t="s">
        <v>58</v>
      </c>
      <c r="I313" s="2">
        <v>2.1</v>
      </c>
    </row>
    <row r="314" spans="1:9" x14ac:dyDescent="0.3">
      <c r="A314" s="2" t="s">
        <v>359</v>
      </c>
      <c r="B314" s="2" t="s">
        <v>73</v>
      </c>
      <c r="C314" s="2" t="s">
        <v>24</v>
      </c>
      <c r="D314" s="4">
        <v>48177.16</v>
      </c>
      <c r="E314" s="2">
        <v>3</v>
      </c>
      <c r="F314" s="4">
        <v>144531.48000000001</v>
      </c>
      <c r="G314" s="3">
        <v>45356</v>
      </c>
      <c r="H314" s="2" t="s">
        <v>58</v>
      </c>
      <c r="I314" s="2">
        <v>1.7</v>
      </c>
    </row>
    <row r="315" spans="1:9" x14ac:dyDescent="0.3">
      <c r="A315" s="2" t="s">
        <v>360</v>
      </c>
      <c r="B315" s="2" t="s">
        <v>29</v>
      </c>
      <c r="C315" s="2" t="s">
        <v>27</v>
      </c>
      <c r="D315" s="4">
        <v>6119.31</v>
      </c>
      <c r="E315" s="2">
        <v>5</v>
      </c>
      <c r="F315" s="4">
        <v>30596.55</v>
      </c>
      <c r="G315" s="3">
        <v>45358</v>
      </c>
      <c r="H315" s="2" t="s">
        <v>58</v>
      </c>
      <c r="I315" s="2">
        <v>1.5</v>
      </c>
    </row>
    <row r="316" spans="1:9" x14ac:dyDescent="0.3">
      <c r="A316" s="2" t="s">
        <v>361</v>
      </c>
      <c r="B316" s="2" t="s">
        <v>77</v>
      </c>
      <c r="C316" s="2" t="s">
        <v>21</v>
      </c>
      <c r="D316" s="4">
        <v>6015.13</v>
      </c>
      <c r="E316" s="2">
        <v>1</v>
      </c>
      <c r="F316" s="4">
        <v>6015.13</v>
      </c>
      <c r="G316" s="3">
        <v>45530</v>
      </c>
      <c r="H316" s="2" t="s">
        <v>49</v>
      </c>
      <c r="I316" s="2">
        <v>1.9</v>
      </c>
    </row>
    <row r="317" spans="1:9" x14ac:dyDescent="0.3">
      <c r="A317" s="2" t="s">
        <v>362</v>
      </c>
      <c r="B317" s="2" t="s">
        <v>56</v>
      </c>
      <c r="C317" s="2" t="s">
        <v>17</v>
      </c>
      <c r="D317" s="4">
        <v>41198.839999999997</v>
      </c>
      <c r="E317" s="2">
        <v>4</v>
      </c>
      <c r="F317" s="4">
        <v>164795.35999999999</v>
      </c>
      <c r="G317" s="3">
        <v>45390</v>
      </c>
      <c r="H317" s="2" t="s">
        <v>49</v>
      </c>
      <c r="I317" s="2">
        <v>3</v>
      </c>
    </row>
    <row r="318" spans="1:9" x14ac:dyDescent="0.3">
      <c r="A318" s="2" t="s">
        <v>363</v>
      </c>
      <c r="B318" s="2" t="s">
        <v>52</v>
      </c>
      <c r="C318" s="2" t="s">
        <v>13</v>
      </c>
      <c r="D318" s="4">
        <v>11527.7</v>
      </c>
      <c r="E318" s="2">
        <v>3</v>
      </c>
      <c r="F318" s="4">
        <v>34583.1</v>
      </c>
      <c r="G318" s="3">
        <v>45626</v>
      </c>
      <c r="H318" s="2" t="s">
        <v>58</v>
      </c>
      <c r="I318" s="2">
        <v>1.8</v>
      </c>
    </row>
    <row r="319" spans="1:9" x14ac:dyDescent="0.3">
      <c r="A319" s="2" t="s">
        <v>364</v>
      </c>
      <c r="B319" s="2" t="s">
        <v>23</v>
      </c>
      <c r="C319" s="2" t="s">
        <v>24</v>
      </c>
      <c r="D319" s="4">
        <v>27749.19</v>
      </c>
      <c r="E319" s="2">
        <v>4</v>
      </c>
      <c r="F319" s="4">
        <v>110996.76</v>
      </c>
      <c r="G319" s="3">
        <v>45679</v>
      </c>
      <c r="H319" s="2" t="s">
        <v>30</v>
      </c>
      <c r="I319" s="2">
        <v>2.5</v>
      </c>
    </row>
    <row r="320" spans="1:9" x14ac:dyDescent="0.3">
      <c r="A320" s="2" t="s">
        <v>365</v>
      </c>
      <c r="B320" s="2" t="s">
        <v>46</v>
      </c>
      <c r="C320" s="2" t="s">
        <v>24</v>
      </c>
      <c r="D320" s="4">
        <v>14014.82</v>
      </c>
      <c r="E320" s="2">
        <v>1</v>
      </c>
      <c r="F320" s="4">
        <v>14014.82</v>
      </c>
      <c r="G320" s="3">
        <v>45619</v>
      </c>
      <c r="H320" s="2" t="s">
        <v>49</v>
      </c>
      <c r="I320" s="2">
        <v>4.5999999999999996</v>
      </c>
    </row>
    <row r="321" spans="1:9" x14ac:dyDescent="0.3">
      <c r="A321" s="2" t="s">
        <v>366</v>
      </c>
      <c r="B321" s="2" t="s">
        <v>46</v>
      </c>
      <c r="C321" s="2" t="s">
        <v>24</v>
      </c>
      <c r="D321" s="4">
        <v>23293.14</v>
      </c>
      <c r="E321" s="2">
        <v>2</v>
      </c>
      <c r="F321" s="4">
        <v>46586.28</v>
      </c>
      <c r="G321" s="3">
        <v>45451</v>
      </c>
      <c r="H321" s="2" t="s">
        <v>18</v>
      </c>
      <c r="I321" s="2">
        <v>4.0999999999999996</v>
      </c>
    </row>
    <row r="322" spans="1:9" x14ac:dyDescent="0.3">
      <c r="A322" s="2" t="s">
        <v>367</v>
      </c>
      <c r="B322" s="2" t="s">
        <v>32</v>
      </c>
      <c r="C322" s="2" t="s">
        <v>17</v>
      </c>
      <c r="D322" s="4">
        <v>38592.49</v>
      </c>
      <c r="E322" s="2">
        <v>5</v>
      </c>
      <c r="F322" s="4">
        <v>192962.45</v>
      </c>
      <c r="G322" s="3">
        <v>45578</v>
      </c>
      <c r="H322" s="2" t="s">
        <v>30</v>
      </c>
      <c r="I322" s="2">
        <v>3.2</v>
      </c>
    </row>
    <row r="323" spans="1:9" x14ac:dyDescent="0.3">
      <c r="A323" s="2" t="s">
        <v>368</v>
      </c>
      <c r="B323" s="2" t="s">
        <v>46</v>
      </c>
      <c r="C323" s="2" t="s">
        <v>24</v>
      </c>
      <c r="D323" s="4">
        <v>39898.86</v>
      </c>
      <c r="E323" s="2">
        <v>1</v>
      </c>
      <c r="F323" s="4">
        <v>39898.86</v>
      </c>
      <c r="G323" s="3">
        <v>45446</v>
      </c>
      <c r="H323" s="2" t="s">
        <v>30</v>
      </c>
      <c r="I323" s="2">
        <v>1.8</v>
      </c>
    </row>
    <row r="324" spans="1:9" x14ac:dyDescent="0.3">
      <c r="A324" s="2" t="s">
        <v>369</v>
      </c>
      <c r="B324" s="2" t="s">
        <v>12</v>
      </c>
      <c r="C324" s="2" t="s">
        <v>13</v>
      </c>
      <c r="D324" s="4">
        <v>39842.5</v>
      </c>
      <c r="E324" s="2">
        <v>2</v>
      </c>
      <c r="F324" s="4">
        <v>79685</v>
      </c>
      <c r="G324" s="3">
        <v>45575</v>
      </c>
      <c r="H324" s="2" t="s">
        <v>14</v>
      </c>
      <c r="I324" s="2">
        <v>4.4000000000000004</v>
      </c>
    </row>
    <row r="325" spans="1:9" x14ac:dyDescent="0.3">
      <c r="A325" s="2" t="s">
        <v>370</v>
      </c>
      <c r="B325" s="2" t="s">
        <v>95</v>
      </c>
      <c r="C325" s="2" t="s">
        <v>13</v>
      </c>
      <c r="D325" s="4">
        <v>30395.25</v>
      </c>
      <c r="E325" s="2">
        <v>1</v>
      </c>
      <c r="F325" s="4">
        <v>30395.25</v>
      </c>
      <c r="G325" s="3">
        <v>45389</v>
      </c>
      <c r="H325" s="2" t="s">
        <v>44</v>
      </c>
      <c r="I325" s="2">
        <v>1.1000000000000001</v>
      </c>
    </row>
    <row r="326" spans="1:9" x14ac:dyDescent="0.3">
      <c r="A326" s="2" t="s">
        <v>371</v>
      </c>
      <c r="B326" s="2" t="s">
        <v>20</v>
      </c>
      <c r="C326" s="2" t="s">
        <v>21</v>
      </c>
      <c r="D326" s="4">
        <v>36560.32</v>
      </c>
      <c r="E326" s="2">
        <v>5</v>
      </c>
      <c r="F326" s="4">
        <v>182801.6</v>
      </c>
      <c r="G326" s="3">
        <v>45658</v>
      </c>
      <c r="H326" s="2" t="s">
        <v>58</v>
      </c>
      <c r="I326" s="2">
        <v>2.5</v>
      </c>
    </row>
    <row r="327" spans="1:9" x14ac:dyDescent="0.3">
      <c r="A327" s="2" t="s">
        <v>372</v>
      </c>
      <c r="B327" s="2" t="s">
        <v>26</v>
      </c>
      <c r="C327" s="2" t="s">
        <v>27</v>
      </c>
      <c r="D327" s="4">
        <v>44248.09</v>
      </c>
      <c r="E327" s="2">
        <v>1</v>
      </c>
      <c r="F327" s="4">
        <v>44248.09</v>
      </c>
      <c r="G327" s="3">
        <v>45341</v>
      </c>
      <c r="H327" s="2" t="s">
        <v>58</v>
      </c>
      <c r="I327" s="2">
        <v>3.1</v>
      </c>
    </row>
    <row r="328" spans="1:9" x14ac:dyDescent="0.3">
      <c r="A328" s="2" t="s">
        <v>373</v>
      </c>
      <c r="B328" s="2" t="s">
        <v>38</v>
      </c>
      <c r="C328" s="2" t="s">
        <v>24</v>
      </c>
      <c r="D328" s="4">
        <v>18386.259999999998</v>
      </c>
      <c r="E328" s="2">
        <v>1</v>
      </c>
      <c r="F328" s="4">
        <v>18386.259999999998</v>
      </c>
      <c r="G328" s="3">
        <v>45571</v>
      </c>
      <c r="H328" s="2" t="s">
        <v>49</v>
      </c>
      <c r="I328" s="2">
        <v>1.4</v>
      </c>
    </row>
    <row r="329" spans="1:9" x14ac:dyDescent="0.3">
      <c r="A329" s="2" t="s">
        <v>374</v>
      </c>
      <c r="B329" s="2" t="s">
        <v>36</v>
      </c>
      <c r="C329" s="2" t="s">
        <v>17</v>
      </c>
      <c r="D329" s="4">
        <v>33683.4</v>
      </c>
      <c r="E329" s="2">
        <v>1</v>
      </c>
      <c r="F329" s="4">
        <v>33683.4</v>
      </c>
      <c r="G329" s="3">
        <v>45665</v>
      </c>
      <c r="H329" s="2" t="s">
        <v>14</v>
      </c>
      <c r="I329" s="2">
        <v>3.8</v>
      </c>
    </row>
    <row r="330" spans="1:9" x14ac:dyDescent="0.3">
      <c r="A330" s="2" t="s">
        <v>375</v>
      </c>
      <c r="B330" s="2" t="s">
        <v>71</v>
      </c>
      <c r="C330" s="2" t="s">
        <v>21</v>
      </c>
      <c r="D330" s="4">
        <v>49561.57</v>
      </c>
      <c r="E330" s="2">
        <v>3</v>
      </c>
      <c r="F330" s="4">
        <v>148684.71</v>
      </c>
      <c r="G330" s="3">
        <v>45385</v>
      </c>
      <c r="H330" s="2" t="s">
        <v>58</v>
      </c>
      <c r="I330" s="2">
        <v>3.5</v>
      </c>
    </row>
    <row r="331" spans="1:9" x14ac:dyDescent="0.3">
      <c r="A331" s="2" t="s">
        <v>376</v>
      </c>
      <c r="B331" s="2" t="s">
        <v>20</v>
      </c>
      <c r="C331" s="2" t="s">
        <v>21</v>
      </c>
      <c r="D331" s="4">
        <v>18551.650000000001</v>
      </c>
      <c r="E331" s="2">
        <v>2</v>
      </c>
      <c r="F331" s="4">
        <v>37103.300000000003</v>
      </c>
      <c r="G331" s="3">
        <v>45381</v>
      </c>
      <c r="H331" s="2" t="s">
        <v>49</v>
      </c>
      <c r="I331" s="2">
        <v>2.6</v>
      </c>
    </row>
    <row r="332" spans="1:9" x14ac:dyDescent="0.3">
      <c r="A332" s="2" t="s">
        <v>377</v>
      </c>
      <c r="B332" s="2" t="s">
        <v>84</v>
      </c>
      <c r="C332" s="2" t="s">
        <v>24</v>
      </c>
      <c r="D332" s="4">
        <v>12249.35</v>
      </c>
      <c r="E332" s="2">
        <v>5</v>
      </c>
      <c r="F332" s="4">
        <v>61246.75</v>
      </c>
      <c r="G332" s="3">
        <v>45686</v>
      </c>
      <c r="H332" s="2" t="s">
        <v>30</v>
      </c>
      <c r="I332" s="2">
        <v>2.9</v>
      </c>
    </row>
    <row r="333" spans="1:9" x14ac:dyDescent="0.3">
      <c r="A333" s="2" t="s">
        <v>378</v>
      </c>
      <c r="B333" s="2" t="s">
        <v>16</v>
      </c>
      <c r="C333" s="2" t="s">
        <v>17</v>
      </c>
      <c r="D333" s="4">
        <v>35305.39</v>
      </c>
      <c r="E333" s="2">
        <v>1</v>
      </c>
      <c r="F333" s="4">
        <v>35305.39</v>
      </c>
      <c r="G333" s="3">
        <v>45453</v>
      </c>
      <c r="H333" s="2" t="s">
        <v>18</v>
      </c>
      <c r="I333" s="2">
        <v>2.2000000000000002</v>
      </c>
    </row>
    <row r="334" spans="1:9" x14ac:dyDescent="0.3">
      <c r="A334" s="2" t="s">
        <v>379</v>
      </c>
      <c r="B334" s="2" t="s">
        <v>23</v>
      </c>
      <c r="C334" s="2" t="s">
        <v>24</v>
      </c>
      <c r="D334" s="4">
        <v>16790.46</v>
      </c>
      <c r="E334" s="2">
        <v>5</v>
      </c>
      <c r="F334" s="4">
        <v>83952.3</v>
      </c>
      <c r="G334" s="3">
        <v>45531</v>
      </c>
      <c r="H334" s="2" t="s">
        <v>58</v>
      </c>
      <c r="I334" s="2">
        <v>4.3</v>
      </c>
    </row>
    <row r="335" spans="1:9" x14ac:dyDescent="0.3">
      <c r="A335" s="2" t="s">
        <v>380</v>
      </c>
      <c r="B335" s="2" t="s">
        <v>36</v>
      </c>
      <c r="C335" s="2" t="s">
        <v>17</v>
      </c>
      <c r="D335" s="4">
        <v>26096.959999999999</v>
      </c>
      <c r="E335" s="2">
        <v>4</v>
      </c>
      <c r="F335" s="4">
        <v>104387.84</v>
      </c>
      <c r="G335" s="3">
        <v>45379</v>
      </c>
      <c r="H335" s="2" t="s">
        <v>14</v>
      </c>
      <c r="I335" s="2">
        <v>3.5</v>
      </c>
    </row>
    <row r="336" spans="1:9" x14ac:dyDescent="0.3">
      <c r="A336" s="2" t="s">
        <v>381</v>
      </c>
      <c r="B336" s="2" t="s">
        <v>102</v>
      </c>
      <c r="C336" s="2" t="s">
        <v>13</v>
      </c>
      <c r="D336" s="4">
        <v>34361.96</v>
      </c>
      <c r="E336" s="2">
        <v>5</v>
      </c>
      <c r="F336" s="4">
        <v>171809.8</v>
      </c>
      <c r="G336" s="3">
        <v>45373</v>
      </c>
      <c r="H336" s="2" t="s">
        <v>58</v>
      </c>
      <c r="I336" s="2">
        <v>4.4000000000000004</v>
      </c>
    </row>
    <row r="337" spans="1:9" x14ac:dyDescent="0.3">
      <c r="A337" s="2" t="s">
        <v>382</v>
      </c>
      <c r="B337" s="2" t="s">
        <v>34</v>
      </c>
      <c r="C337" s="2" t="s">
        <v>27</v>
      </c>
      <c r="D337" s="4">
        <v>46079.49</v>
      </c>
      <c r="E337" s="2">
        <v>5</v>
      </c>
      <c r="F337" s="4">
        <v>230397.45</v>
      </c>
      <c r="G337" s="3">
        <v>45350</v>
      </c>
      <c r="H337" s="2" t="s">
        <v>58</v>
      </c>
      <c r="I337" s="2">
        <v>3.7</v>
      </c>
    </row>
    <row r="338" spans="1:9" x14ac:dyDescent="0.3">
      <c r="A338" s="2" t="s">
        <v>383</v>
      </c>
      <c r="B338" s="2" t="s">
        <v>29</v>
      </c>
      <c r="C338" s="2" t="s">
        <v>27</v>
      </c>
      <c r="D338" s="4">
        <v>47053.440000000002</v>
      </c>
      <c r="E338" s="2">
        <v>2</v>
      </c>
      <c r="F338" s="4">
        <v>94106.880000000005</v>
      </c>
      <c r="G338" s="3">
        <v>45448</v>
      </c>
      <c r="H338" s="2" t="s">
        <v>44</v>
      </c>
      <c r="I338" s="2">
        <v>3</v>
      </c>
    </row>
    <row r="339" spans="1:9" x14ac:dyDescent="0.3">
      <c r="A339" s="2" t="s">
        <v>384</v>
      </c>
      <c r="B339" s="2" t="s">
        <v>38</v>
      </c>
      <c r="C339" s="2" t="s">
        <v>24</v>
      </c>
      <c r="D339" s="4">
        <v>18905.939999999999</v>
      </c>
      <c r="E339" s="2">
        <v>3</v>
      </c>
      <c r="F339" s="4">
        <v>56717.82</v>
      </c>
      <c r="G339" s="3">
        <v>45518</v>
      </c>
      <c r="H339" s="2" t="s">
        <v>18</v>
      </c>
      <c r="I339" s="2">
        <v>4.5</v>
      </c>
    </row>
    <row r="340" spans="1:9" x14ac:dyDescent="0.3">
      <c r="A340" s="2" t="s">
        <v>385</v>
      </c>
      <c r="B340" s="2" t="s">
        <v>71</v>
      </c>
      <c r="C340" s="2" t="s">
        <v>21</v>
      </c>
      <c r="D340" s="4">
        <v>30977.18</v>
      </c>
      <c r="E340" s="2">
        <v>3</v>
      </c>
      <c r="F340" s="4">
        <v>92931.54</v>
      </c>
      <c r="G340" s="3">
        <v>45604</v>
      </c>
      <c r="H340" s="2" t="s">
        <v>18</v>
      </c>
      <c r="I340" s="2">
        <v>3.3</v>
      </c>
    </row>
    <row r="341" spans="1:9" x14ac:dyDescent="0.3">
      <c r="A341" s="2" t="s">
        <v>386</v>
      </c>
      <c r="B341" s="2" t="s">
        <v>34</v>
      </c>
      <c r="C341" s="2" t="s">
        <v>27</v>
      </c>
      <c r="D341" s="4">
        <v>41841.57</v>
      </c>
      <c r="E341" s="2">
        <v>2</v>
      </c>
      <c r="F341" s="4">
        <v>83683.14</v>
      </c>
      <c r="G341" s="3">
        <v>45439</v>
      </c>
      <c r="H341" s="2" t="s">
        <v>44</v>
      </c>
      <c r="I341" s="2">
        <v>1.1000000000000001</v>
      </c>
    </row>
    <row r="342" spans="1:9" x14ac:dyDescent="0.3">
      <c r="A342" s="2" t="s">
        <v>387</v>
      </c>
      <c r="B342" s="2" t="s">
        <v>73</v>
      </c>
      <c r="C342" s="2" t="s">
        <v>24</v>
      </c>
      <c r="D342" s="4">
        <v>4277.1499999999996</v>
      </c>
      <c r="E342" s="2">
        <v>4</v>
      </c>
      <c r="F342" s="4">
        <v>17108.599999999999</v>
      </c>
      <c r="G342" s="3">
        <v>45516</v>
      </c>
      <c r="H342" s="2" t="s">
        <v>44</v>
      </c>
      <c r="I342" s="2">
        <v>2.1</v>
      </c>
    </row>
    <row r="343" spans="1:9" x14ac:dyDescent="0.3">
      <c r="A343" s="2" t="s">
        <v>388</v>
      </c>
      <c r="B343" s="2" t="s">
        <v>122</v>
      </c>
      <c r="C343" s="2" t="s">
        <v>27</v>
      </c>
      <c r="D343" s="4">
        <v>15648.85</v>
      </c>
      <c r="E343" s="2">
        <v>2</v>
      </c>
      <c r="F343" s="4">
        <v>31297.7</v>
      </c>
      <c r="G343" s="3">
        <v>45691</v>
      </c>
      <c r="H343" s="2" t="s">
        <v>49</v>
      </c>
      <c r="I343" s="2">
        <v>4.4000000000000004</v>
      </c>
    </row>
    <row r="344" spans="1:9" x14ac:dyDescent="0.3">
      <c r="A344" s="2" t="s">
        <v>389</v>
      </c>
      <c r="B344" s="2" t="s">
        <v>84</v>
      </c>
      <c r="C344" s="2" t="s">
        <v>24</v>
      </c>
      <c r="D344" s="4">
        <v>26992.720000000001</v>
      </c>
      <c r="E344" s="2">
        <v>3</v>
      </c>
      <c r="F344" s="4">
        <v>80978.16</v>
      </c>
      <c r="G344" s="3">
        <v>45337</v>
      </c>
      <c r="H344" s="2" t="s">
        <v>30</v>
      </c>
      <c r="I344" s="2">
        <v>1.1000000000000001</v>
      </c>
    </row>
    <row r="345" spans="1:9" x14ac:dyDescent="0.3">
      <c r="A345" s="2" t="s">
        <v>390</v>
      </c>
      <c r="B345" s="2" t="s">
        <v>84</v>
      </c>
      <c r="C345" s="2" t="s">
        <v>24</v>
      </c>
      <c r="D345" s="4">
        <v>49586.31</v>
      </c>
      <c r="E345" s="2">
        <v>4</v>
      </c>
      <c r="F345" s="4">
        <v>198345.24</v>
      </c>
      <c r="G345" s="3">
        <v>45415</v>
      </c>
      <c r="H345" s="2" t="s">
        <v>18</v>
      </c>
      <c r="I345" s="2">
        <v>4.3</v>
      </c>
    </row>
    <row r="346" spans="1:9" x14ac:dyDescent="0.3">
      <c r="A346" s="2" t="s">
        <v>391</v>
      </c>
      <c r="B346" s="2" t="s">
        <v>38</v>
      </c>
      <c r="C346" s="2" t="s">
        <v>24</v>
      </c>
      <c r="D346" s="4">
        <v>37181.040000000001</v>
      </c>
      <c r="E346" s="2">
        <v>1</v>
      </c>
      <c r="F346" s="4">
        <v>37181.040000000001</v>
      </c>
      <c r="G346" s="3">
        <v>45372</v>
      </c>
      <c r="H346" s="2" t="s">
        <v>30</v>
      </c>
      <c r="I346" s="2">
        <v>1.2</v>
      </c>
    </row>
    <row r="347" spans="1:9" x14ac:dyDescent="0.3">
      <c r="A347" s="2" t="s">
        <v>392</v>
      </c>
      <c r="B347" s="2" t="s">
        <v>32</v>
      </c>
      <c r="C347" s="2" t="s">
        <v>17</v>
      </c>
      <c r="D347" s="4">
        <v>46090.65</v>
      </c>
      <c r="E347" s="2">
        <v>4</v>
      </c>
      <c r="F347" s="4">
        <v>184362.6</v>
      </c>
      <c r="G347" s="3">
        <v>45682</v>
      </c>
      <c r="H347" s="2" t="s">
        <v>18</v>
      </c>
      <c r="I347" s="2">
        <v>3.3</v>
      </c>
    </row>
    <row r="348" spans="1:9" x14ac:dyDescent="0.3">
      <c r="A348" s="2" t="s">
        <v>393</v>
      </c>
      <c r="B348" s="2" t="s">
        <v>12</v>
      </c>
      <c r="C348" s="2" t="s">
        <v>13</v>
      </c>
      <c r="D348" s="4">
        <v>48151.09</v>
      </c>
      <c r="E348" s="2">
        <v>4</v>
      </c>
      <c r="F348" s="4">
        <v>192604.36</v>
      </c>
      <c r="G348" s="3">
        <v>45496</v>
      </c>
      <c r="H348" s="2" t="s">
        <v>18</v>
      </c>
      <c r="I348" s="2">
        <v>2.9</v>
      </c>
    </row>
    <row r="349" spans="1:9" x14ac:dyDescent="0.3">
      <c r="A349" s="2" t="s">
        <v>394</v>
      </c>
      <c r="B349" s="2" t="s">
        <v>23</v>
      </c>
      <c r="C349" s="2" t="s">
        <v>24</v>
      </c>
      <c r="D349" s="4">
        <v>8197.4699999999993</v>
      </c>
      <c r="E349" s="2">
        <v>2</v>
      </c>
      <c r="F349" s="4">
        <v>16394.939999999999</v>
      </c>
      <c r="G349" s="3">
        <v>45563</v>
      </c>
      <c r="H349" s="2" t="s">
        <v>30</v>
      </c>
      <c r="I349" s="2">
        <v>3</v>
      </c>
    </row>
    <row r="350" spans="1:9" x14ac:dyDescent="0.3">
      <c r="A350" s="2" t="s">
        <v>395</v>
      </c>
      <c r="B350" s="2" t="s">
        <v>26</v>
      </c>
      <c r="C350" s="2" t="s">
        <v>27</v>
      </c>
      <c r="D350" s="4">
        <v>40679.29</v>
      </c>
      <c r="E350" s="2">
        <v>2</v>
      </c>
      <c r="F350" s="4">
        <v>81358.58</v>
      </c>
      <c r="G350" s="3">
        <v>45486</v>
      </c>
      <c r="H350" s="2" t="s">
        <v>30</v>
      </c>
      <c r="I350" s="2">
        <v>1.5</v>
      </c>
    </row>
    <row r="351" spans="1:9" x14ac:dyDescent="0.3">
      <c r="A351" s="2" t="s">
        <v>396</v>
      </c>
      <c r="B351" s="2" t="s">
        <v>40</v>
      </c>
      <c r="C351" s="2" t="s">
        <v>21</v>
      </c>
      <c r="D351" s="4">
        <v>45012.71</v>
      </c>
      <c r="E351" s="2">
        <v>3</v>
      </c>
      <c r="F351" s="4">
        <v>135038.13</v>
      </c>
      <c r="G351" s="3">
        <v>45580</v>
      </c>
      <c r="H351" s="2" t="s">
        <v>18</v>
      </c>
      <c r="I351" s="2">
        <v>4.9000000000000004</v>
      </c>
    </row>
    <row r="352" spans="1:9" x14ac:dyDescent="0.3">
      <c r="A352" s="2" t="s">
        <v>397</v>
      </c>
      <c r="B352" s="2" t="s">
        <v>40</v>
      </c>
      <c r="C352" s="2" t="s">
        <v>21</v>
      </c>
      <c r="D352" s="4">
        <v>5127.0200000000004</v>
      </c>
      <c r="E352" s="2">
        <v>3</v>
      </c>
      <c r="F352" s="4">
        <v>15381.06</v>
      </c>
      <c r="G352" s="3">
        <v>45695</v>
      </c>
      <c r="H352" s="2" t="s">
        <v>14</v>
      </c>
      <c r="I352" s="2">
        <v>4.5</v>
      </c>
    </row>
    <row r="353" spans="1:9" x14ac:dyDescent="0.3">
      <c r="A353" s="2" t="s">
        <v>398</v>
      </c>
      <c r="B353" s="2" t="s">
        <v>73</v>
      </c>
      <c r="C353" s="2" t="s">
        <v>24</v>
      </c>
      <c r="D353" s="4">
        <v>13954.48</v>
      </c>
      <c r="E353" s="2">
        <v>3</v>
      </c>
      <c r="F353" s="4">
        <v>41863.440000000002</v>
      </c>
      <c r="G353" s="3">
        <v>45669</v>
      </c>
      <c r="H353" s="2" t="s">
        <v>18</v>
      </c>
      <c r="I353" s="2">
        <v>1.5</v>
      </c>
    </row>
    <row r="354" spans="1:9" x14ac:dyDescent="0.3">
      <c r="A354" s="2" t="s">
        <v>399</v>
      </c>
      <c r="B354" s="2" t="s">
        <v>56</v>
      </c>
      <c r="C354" s="2" t="s">
        <v>17</v>
      </c>
      <c r="D354" s="4">
        <v>26166.89</v>
      </c>
      <c r="E354" s="2">
        <v>4</v>
      </c>
      <c r="F354" s="4">
        <v>104667.56</v>
      </c>
      <c r="G354" s="3">
        <v>45541</v>
      </c>
      <c r="H354" s="2" t="s">
        <v>49</v>
      </c>
      <c r="I354" s="2">
        <v>3.7</v>
      </c>
    </row>
    <row r="355" spans="1:9" x14ac:dyDescent="0.3">
      <c r="A355" s="2" t="s">
        <v>400</v>
      </c>
      <c r="B355" s="2" t="s">
        <v>71</v>
      </c>
      <c r="C355" s="2" t="s">
        <v>21</v>
      </c>
      <c r="D355" s="4">
        <v>45072.69</v>
      </c>
      <c r="E355" s="2">
        <v>2</v>
      </c>
      <c r="F355" s="4">
        <v>90145.38</v>
      </c>
      <c r="G355" s="3">
        <v>45656</v>
      </c>
      <c r="H355" s="2" t="s">
        <v>30</v>
      </c>
      <c r="I355" s="2">
        <v>2.6</v>
      </c>
    </row>
    <row r="356" spans="1:9" x14ac:dyDescent="0.3">
      <c r="A356" s="2" t="s">
        <v>401</v>
      </c>
      <c r="B356" s="2" t="s">
        <v>56</v>
      </c>
      <c r="C356" s="2" t="s">
        <v>17</v>
      </c>
      <c r="D356" s="4">
        <v>33543.19</v>
      </c>
      <c r="E356" s="2">
        <v>2</v>
      </c>
      <c r="F356" s="4">
        <v>67086.38</v>
      </c>
      <c r="G356" s="3">
        <v>45360</v>
      </c>
      <c r="H356" s="2" t="s">
        <v>18</v>
      </c>
      <c r="I356" s="2">
        <v>3.7</v>
      </c>
    </row>
    <row r="357" spans="1:9" x14ac:dyDescent="0.3">
      <c r="A357" s="2" t="s">
        <v>402</v>
      </c>
      <c r="B357" s="2" t="s">
        <v>102</v>
      </c>
      <c r="C357" s="2" t="s">
        <v>13</v>
      </c>
      <c r="D357" s="4">
        <v>34116.230000000003</v>
      </c>
      <c r="E357" s="2">
        <v>3</v>
      </c>
      <c r="F357" s="4">
        <v>102348.69</v>
      </c>
      <c r="G357" s="3">
        <v>45371</v>
      </c>
      <c r="H357" s="2" t="s">
        <v>30</v>
      </c>
      <c r="I357" s="2">
        <v>1.4</v>
      </c>
    </row>
    <row r="358" spans="1:9" x14ac:dyDescent="0.3">
      <c r="A358" s="2" t="s">
        <v>403</v>
      </c>
      <c r="B358" s="2" t="s">
        <v>102</v>
      </c>
      <c r="C358" s="2" t="s">
        <v>13</v>
      </c>
      <c r="D358" s="4">
        <v>15466.4</v>
      </c>
      <c r="E358" s="2">
        <v>5</v>
      </c>
      <c r="F358" s="4">
        <v>77332</v>
      </c>
      <c r="G358" s="3">
        <v>45502</v>
      </c>
      <c r="H358" s="2" t="s">
        <v>30</v>
      </c>
      <c r="I358" s="2">
        <v>2.9</v>
      </c>
    </row>
    <row r="359" spans="1:9" x14ac:dyDescent="0.3">
      <c r="A359" s="2" t="s">
        <v>404</v>
      </c>
      <c r="B359" s="2" t="s">
        <v>73</v>
      </c>
      <c r="C359" s="2" t="s">
        <v>24</v>
      </c>
      <c r="D359" s="4">
        <v>19879.400000000001</v>
      </c>
      <c r="E359" s="2">
        <v>4</v>
      </c>
      <c r="F359" s="4">
        <v>79517.600000000006</v>
      </c>
      <c r="G359" s="3">
        <v>45366</v>
      </c>
      <c r="H359" s="2" t="s">
        <v>14</v>
      </c>
      <c r="I359" s="2">
        <v>3.2</v>
      </c>
    </row>
    <row r="360" spans="1:9" x14ac:dyDescent="0.3">
      <c r="A360" s="2" t="s">
        <v>405</v>
      </c>
      <c r="B360" s="2" t="s">
        <v>122</v>
      </c>
      <c r="C360" s="2" t="s">
        <v>27</v>
      </c>
      <c r="D360" s="4">
        <v>11914.15</v>
      </c>
      <c r="E360" s="2">
        <v>2</v>
      </c>
      <c r="F360" s="4">
        <v>23828.3</v>
      </c>
      <c r="G360" s="3">
        <v>45453</v>
      </c>
      <c r="H360" s="2" t="s">
        <v>30</v>
      </c>
      <c r="I360" s="2">
        <v>2.4</v>
      </c>
    </row>
    <row r="361" spans="1:9" x14ac:dyDescent="0.3">
      <c r="A361" s="2" t="s">
        <v>406</v>
      </c>
      <c r="B361" s="2" t="s">
        <v>153</v>
      </c>
      <c r="C361" s="2" t="s">
        <v>17</v>
      </c>
      <c r="D361" s="4">
        <v>7936.32</v>
      </c>
      <c r="E361" s="2">
        <v>4</v>
      </c>
      <c r="F361" s="4">
        <v>31745.279999999999</v>
      </c>
      <c r="G361" s="3">
        <v>45556</v>
      </c>
      <c r="H361" s="2" t="s">
        <v>49</v>
      </c>
      <c r="I361" s="2">
        <v>1.5</v>
      </c>
    </row>
    <row r="362" spans="1:9" x14ac:dyDescent="0.3">
      <c r="A362" s="2" t="s">
        <v>407</v>
      </c>
      <c r="B362" s="2" t="s">
        <v>12</v>
      </c>
      <c r="C362" s="2" t="s">
        <v>13</v>
      </c>
      <c r="D362" s="4">
        <v>7633.85</v>
      </c>
      <c r="E362" s="2">
        <v>2</v>
      </c>
      <c r="F362" s="4">
        <v>15267.7</v>
      </c>
      <c r="G362" s="3">
        <v>45536</v>
      </c>
      <c r="H362" s="2" t="s">
        <v>58</v>
      </c>
      <c r="I362" s="2">
        <v>3.8</v>
      </c>
    </row>
    <row r="363" spans="1:9" x14ac:dyDescent="0.3">
      <c r="A363" s="2" t="s">
        <v>408</v>
      </c>
      <c r="B363" s="2" t="s">
        <v>20</v>
      </c>
      <c r="C363" s="2" t="s">
        <v>21</v>
      </c>
      <c r="D363" s="4">
        <v>2470.8200000000002</v>
      </c>
      <c r="E363" s="2">
        <v>4</v>
      </c>
      <c r="F363" s="4">
        <v>9883.2800000000007</v>
      </c>
      <c r="G363" s="3">
        <v>45438</v>
      </c>
      <c r="H363" s="2" t="s">
        <v>18</v>
      </c>
      <c r="I363" s="2">
        <v>2</v>
      </c>
    </row>
    <row r="364" spans="1:9" x14ac:dyDescent="0.3">
      <c r="A364" s="2" t="s">
        <v>409</v>
      </c>
      <c r="B364" s="2" t="s">
        <v>122</v>
      </c>
      <c r="C364" s="2" t="s">
        <v>27</v>
      </c>
      <c r="D364" s="4">
        <v>908.47</v>
      </c>
      <c r="E364" s="2">
        <v>3</v>
      </c>
      <c r="F364" s="4">
        <v>2725.41</v>
      </c>
      <c r="G364" s="3">
        <v>45562</v>
      </c>
      <c r="H364" s="2" t="s">
        <v>44</v>
      </c>
      <c r="I364" s="2">
        <v>4.5999999999999996</v>
      </c>
    </row>
    <row r="365" spans="1:9" x14ac:dyDescent="0.3">
      <c r="A365" s="2" t="s">
        <v>410</v>
      </c>
      <c r="B365" s="2" t="s">
        <v>34</v>
      </c>
      <c r="C365" s="2" t="s">
        <v>27</v>
      </c>
      <c r="D365" s="4">
        <v>14102.56</v>
      </c>
      <c r="E365" s="2">
        <v>4</v>
      </c>
      <c r="F365" s="4">
        <v>56410.239999999998</v>
      </c>
      <c r="G365" s="3">
        <v>45555</v>
      </c>
      <c r="H365" s="2" t="s">
        <v>44</v>
      </c>
      <c r="I365" s="2">
        <v>2.9</v>
      </c>
    </row>
    <row r="366" spans="1:9" x14ac:dyDescent="0.3">
      <c r="A366" s="2" t="s">
        <v>411</v>
      </c>
      <c r="B366" s="2" t="s">
        <v>73</v>
      </c>
      <c r="C366" s="2" t="s">
        <v>24</v>
      </c>
      <c r="D366" s="4">
        <v>23287.93</v>
      </c>
      <c r="E366" s="2">
        <v>4</v>
      </c>
      <c r="F366" s="4">
        <v>93151.72</v>
      </c>
      <c r="G366" s="3">
        <v>45518</v>
      </c>
      <c r="H366" s="2" t="s">
        <v>14</v>
      </c>
      <c r="I366" s="2">
        <v>2</v>
      </c>
    </row>
    <row r="367" spans="1:9" x14ac:dyDescent="0.3">
      <c r="A367" s="2" t="s">
        <v>412</v>
      </c>
      <c r="B367" s="2" t="s">
        <v>29</v>
      </c>
      <c r="C367" s="2" t="s">
        <v>27</v>
      </c>
      <c r="D367" s="4">
        <v>41333.21</v>
      </c>
      <c r="E367" s="2">
        <v>1</v>
      </c>
      <c r="F367" s="4">
        <v>41333.21</v>
      </c>
      <c r="G367" s="3">
        <v>45685</v>
      </c>
      <c r="H367" s="2" t="s">
        <v>58</v>
      </c>
      <c r="I367" s="2">
        <v>4</v>
      </c>
    </row>
    <row r="368" spans="1:9" x14ac:dyDescent="0.3">
      <c r="A368" s="2" t="s">
        <v>413</v>
      </c>
      <c r="B368" s="2" t="s">
        <v>12</v>
      </c>
      <c r="C368" s="2" t="s">
        <v>13</v>
      </c>
      <c r="D368" s="4">
        <v>35304.99</v>
      </c>
      <c r="E368" s="2">
        <v>1</v>
      </c>
      <c r="F368" s="4">
        <v>35304.99</v>
      </c>
      <c r="G368" s="3">
        <v>45510</v>
      </c>
      <c r="H368" s="2" t="s">
        <v>44</v>
      </c>
      <c r="I368" s="2">
        <v>2</v>
      </c>
    </row>
    <row r="369" spans="1:9" x14ac:dyDescent="0.3">
      <c r="A369" s="2" t="s">
        <v>414</v>
      </c>
      <c r="B369" s="2" t="s">
        <v>16</v>
      </c>
      <c r="C369" s="2" t="s">
        <v>17</v>
      </c>
      <c r="D369" s="4">
        <v>22335.58</v>
      </c>
      <c r="E369" s="2">
        <v>2</v>
      </c>
      <c r="F369" s="4">
        <v>44671.16</v>
      </c>
      <c r="G369" s="3">
        <v>45504</v>
      </c>
      <c r="H369" s="2" t="s">
        <v>30</v>
      </c>
      <c r="I369" s="2">
        <v>3.8</v>
      </c>
    </row>
    <row r="370" spans="1:9" x14ac:dyDescent="0.3">
      <c r="A370" s="2" t="s">
        <v>415</v>
      </c>
      <c r="B370" s="2" t="s">
        <v>26</v>
      </c>
      <c r="C370" s="2" t="s">
        <v>27</v>
      </c>
      <c r="D370" s="4">
        <v>40486.080000000002</v>
      </c>
      <c r="E370" s="2">
        <v>5</v>
      </c>
      <c r="F370" s="4">
        <v>202430.4</v>
      </c>
      <c r="G370" s="3">
        <v>45622</v>
      </c>
      <c r="H370" s="2" t="s">
        <v>30</v>
      </c>
      <c r="I370" s="2">
        <v>3.6</v>
      </c>
    </row>
    <row r="371" spans="1:9" x14ac:dyDescent="0.3">
      <c r="A371" s="2" t="s">
        <v>416</v>
      </c>
      <c r="B371" s="2" t="s">
        <v>12</v>
      </c>
      <c r="C371" s="2" t="s">
        <v>13</v>
      </c>
      <c r="D371" s="4">
        <v>20353.400000000001</v>
      </c>
      <c r="E371" s="2">
        <v>1</v>
      </c>
      <c r="F371" s="4">
        <v>20353.400000000001</v>
      </c>
      <c r="G371" s="3">
        <v>45480</v>
      </c>
      <c r="H371" s="2" t="s">
        <v>18</v>
      </c>
      <c r="I371" s="2">
        <v>2.9</v>
      </c>
    </row>
    <row r="372" spans="1:9" x14ac:dyDescent="0.3">
      <c r="A372" s="2" t="s">
        <v>417</v>
      </c>
      <c r="B372" s="2" t="s">
        <v>73</v>
      </c>
      <c r="C372" s="2" t="s">
        <v>24</v>
      </c>
      <c r="D372" s="4">
        <v>2258.27</v>
      </c>
      <c r="E372" s="2">
        <v>3</v>
      </c>
      <c r="F372" s="4">
        <v>6774.81</v>
      </c>
      <c r="G372" s="3">
        <v>45589</v>
      </c>
      <c r="H372" s="2" t="s">
        <v>30</v>
      </c>
      <c r="I372" s="2">
        <v>4.8</v>
      </c>
    </row>
    <row r="373" spans="1:9" x14ac:dyDescent="0.3">
      <c r="A373" s="2" t="s">
        <v>418</v>
      </c>
      <c r="B373" s="2" t="s">
        <v>46</v>
      </c>
      <c r="C373" s="2" t="s">
        <v>24</v>
      </c>
      <c r="D373" s="4">
        <v>704.55</v>
      </c>
      <c r="E373" s="2">
        <v>5</v>
      </c>
      <c r="F373" s="4">
        <v>3522.75</v>
      </c>
      <c r="G373" s="3">
        <v>45440</v>
      </c>
      <c r="H373" s="2" t="s">
        <v>14</v>
      </c>
      <c r="I373" s="2">
        <v>4</v>
      </c>
    </row>
    <row r="374" spans="1:9" x14ac:dyDescent="0.3">
      <c r="A374" s="2" t="s">
        <v>419</v>
      </c>
      <c r="B374" s="2" t="s">
        <v>34</v>
      </c>
      <c r="C374" s="2" t="s">
        <v>27</v>
      </c>
      <c r="D374" s="4">
        <v>38629</v>
      </c>
      <c r="E374" s="2">
        <v>1</v>
      </c>
      <c r="F374" s="4">
        <v>38629</v>
      </c>
      <c r="G374" s="3">
        <v>45488</v>
      </c>
      <c r="H374" s="2" t="s">
        <v>58</v>
      </c>
      <c r="I374" s="2">
        <v>4</v>
      </c>
    </row>
    <row r="375" spans="1:9" x14ac:dyDescent="0.3">
      <c r="A375" s="2" t="s">
        <v>420</v>
      </c>
      <c r="B375" s="2" t="s">
        <v>95</v>
      </c>
      <c r="C375" s="2" t="s">
        <v>13</v>
      </c>
      <c r="D375" s="4">
        <v>37303.26</v>
      </c>
      <c r="E375" s="2">
        <v>4</v>
      </c>
      <c r="F375" s="4">
        <v>149213.04</v>
      </c>
      <c r="G375" s="3">
        <v>45664</v>
      </c>
      <c r="H375" s="2" t="s">
        <v>44</v>
      </c>
      <c r="I375" s="2">
        <v>2.9</v>
      </c>
    </row>
    <row r="376" spans="1:9" x14ac:dyDescent="0.3">
      <c r="A376" s="2" t="s">
        <v>421</v>
      </c>
      <c r="B376" s="2" t="s">
        <v>46</v>
      </c>
      <c r="C376" s="2" t="s">
        <v>24</v>
      </c>
      <c r="D376" s="4">
        <v>11507.22</v>
      </c>
      <c r="E376" s="2">
        <v>4</v>
      </c>
      <c r="F376" s="4">
        <v>46028.88</v>
      </c>
      <c r="G376" s="3">
        <v>45399</v>
      </c>
      <c r="H376" s="2" t="s">
        <v>14</v>
      </c>
      <c r="I376" s="2">
        <v>1.4</v>
      </c>
    </row>
    <row r="377" spans="1:9" x14ac:dyDescent="0.3">
      <c r="A377" s="2" t="s">
        <v>422</v>
      </c>
      <c r="B377" s="2" t="s">
        <v>34</v>
      </c>
      <c r="C377" s="2" t="s">
        <v>27</v>
      </c>
      <c r="D377" s="4">
        <v>48710.25</v>
      </c>
      <c r="E377" s="2">
        <v>1</v>
      </c>
      <c r="F377" s="4">
        <v>48710.25</v>
      </c>
      <c r="G377" s="3">
        <v>45571</v>
      </c>
      <c r="H377" s="2" t="s">
        <v>49</v>
      </c>
      <c r="I377" s="2">
        <v>1.7</v>
      </c>
    </row>
    <row r="378" spans="1:9" x14ac:dyDescent="0.3">
      <c r="A378" s="2" t="s">
        <v>423</v>
      </c>
      <c r="B378" s="2" t="s">
        <v>12</v>
      </c>
      <c r="C378" s="2" t="s">
        <v>13</v>
      </c>
      <c r="D378" s="4">
        <v>20075.810000000001</v>
      </c>
      <c r="E378" s="2">
        <v>1</v>
      </c>
      <c r="F378" s="4">
        <v>20075.810000000001</v>
      </c>
      <c r="G378" s="3">
        <v>45455</v>
      </c>
      <c r="H378" s="2" t="s">
        <v>14</v>
      </c>
      <c r="I378" s="2">
        <v>4.9000000000000004</v>
      </c>
    </row>
    <row r="379" spans="1:9" x14ac:dyDescent="0.3">
      <c r="A379" s="2" t="s">
        <v>424</v>
      </c>
      <c r="B379" s="2" t="s">
        <v>48</v>
      </c>
      <c r="C379" s="2" t="s">
        <v>13</v>
      </c>
      <c r="D379" s="4">
        <v>8448.77</v>
      </c>
      <c r="E379" s="2">
        <v>2</v>
      </c>
      <c r="F379" s="4">
        <v>16897.54</v>
      </c>
      <c r="G379" s="3">
        <v>45424</v>
      </c>
      <c r="H379" s="2" t="s">
        <v>18</v>
      </c>
      <c r="I379" s="2">
        <v>3.8</v>
      </c>
    </row>
    <row r="380" spans="1:9" x14ac:dyDescent="0.3">
      <c r="A380" s="2" t="s">
        <v>425</v>
      </c>
      <c r="B380" s="2" t="s">
        <v>32</v>
      </c>
      <c r="C380" s="2" t="s">
        <v>17</v>
      </c>
      <c r="D380" s="4">
        <v>29310.76</v>
      </c>
      <c r="E380" s="2">
        <v>4</v>
      </c>
      <c r="F380" s="4">
        <v>117243.04</v>
      </c>
      <c r="G380" s="3">
        <v>45476</v>
      </c>
      <c r="H380" s="2" t="s">
        <v>30</v>
      </c>
      <c r="I380" s="2">
        <v>4.4000000000000004</v>
      </c>
    </row>
    <row r="381" spans="1:9" x14ac:dyDescent="0.3">
      <c r="A381" s="2" t="s">
        <v>426</v>
      </c>
      <c r="B381" s="2" t="s">
        <v>12</v>
      </c>
      <c r="C381" s="2" t="s">
        <v>13</v>
      </c>
      <c r="D381" s="4">
        <v>708.78</v>
      </c>
      <c r="E381" s="2">
        <v>4</v>
      </c>
      <c r="F381" s="4">
        <v>2835.12</v>
      </c>
      <c r="G381" s="3">
        <v>45625</v>
      </c>
      <c r="H381" s="2" t="s">
        <v>44</v>
      </c>
      <c r="I381" s="2">
        <v>2</v>
      </c>
    </row>
    <row r="382" spans="1:9" x14ac:dyDescent="0.3">
      <c r="A382" s="2" t="s">
        <v>427</v>
      </c>
      <c r="B382" s="2" t="s">
        <v>36</v>
      </c>
      <c r="C382" s="2" t="s">
        <v>17</v>
      </c>
      <c r="D382" s="4">
        <v>24062.33</v>
      </c>
      <c r="E382" s="2">
        <v>4</v>
      </c>
      <c r="F382" s="4">
        <v>96249.32</v>
      </c>
      <c r="G382" s="3">
        <v>45676</v>
      </c>
      <c r="H382" s="2" t="s">
        <v>14</v>
      </c>
      <c r="I382" s="2">
        <v>1.1000000000000001</v>
      </c>
    </row>
    <row r="383" spans="1:9" x14ac:dyDescent="0.3">
      <c r="A383" s="2" t="s">
        <v>428</v>
      </c>
      <c r="B383" s="2" t="s">
        <v>32</v>
      </c>
      <c r="C383" s="2" t="s">
        <v>17</v>
      </c>
      <c r="D383" s="4">
        <v>27827.66</v>
      </c>
      <c r="E383" s="2">
        <v>1</v>
      </c>
      <c r="F383" s="4">
        <v>27827.66</v>
      </c>
      <c r="G383" s="3">
        <v>45461</v>
      </c>
      <c r="H383" s="2" t="s">
        <v>44</v>
      </c>
      <c r="I383" s="2">
        <v>4.5</v>
      </c>
    </row>
    <row r="384" spans="1:9" x14ac:dyDescent="0.3">
      <c r="A384" s="2" t="s">
        <v>429</v>
      </c>
      <c r="B384" s="2" t="s">
        <v>23</v>
      </c>
      <c r="C384" s="2" t="s">
        <v>24</v>
      </c>
      <c r="D384" s="4">
        <v>40862.870000000003</v>
      </c>
      <c r="E384" s="2">
        <v>2</v>
      </c>
      <c r="F384" s="4">
        <v>81725.740000000005</v>
      </c>
      <c r="G384" s="3">
        <v>45434</v>
      </c>
      <c r="H384" s="2" t="s">
        <v>14</v>
      </c>
      <c r="I384" s="2">
        <v>1.4</v>
      </c>
    </row>
    <row r="385" spans="1:9" x14ac:dyDescent="0.3">
      <c r="A385" s="2" t="s">
        <v>430</v>
      </c>
      <c r="B385" s="2" t="s">
        <v>32</v>
      </c>
      <c r="C385" s="2" t="s">
        <v>17</v>
      </c>
      <c r="D385" s="4">
        <v>11399.26</v>
      </c>
      <c r="E385" s="2">
        <v>2</v>
      </c>
      <c r="F385" s="4">
        <v>22798.52</v>
      </c>
      <c r="G385" s="3">
        <v>45339</v>
      </c>
      <c r="H385" s="2" t="s">
        <v>58</v>
      </c>
      <c r="I385" s="2">
        <v>1</v>
      </c>
    </row>
    <row r="386" spans="1:9" x14ac:dyDescent="0.3">
      <c r="A386" s="2" t="s">
        <v>431</v>
      </c>
      <c r="B386" s="2" t="s">
        <v>71</v>
      </c>
      <c r="C386" s="2" t="s">
        <v>21</v>
      </c>
      <c r="D386" s="4">
        <v>5463.13</v>
      </c>
      <c r="E386" s="2">
        <v>1</v>
      </c>
      <c r="F386" s="4">
        <v>5463.13</v>
      </c>
      <c r="G386" s="3">
        <v>45473</v>
      </c>
      <c r="H386" s="2" t="s">
        <v>14</v>
      </c>
      <c r="I386" s="2">
        <v>3.9</v>
      </c>
    </row>
    <row r="387" spans="1:9" x14ac:dyDescent="0.3">
      <c r="A387" s="2" t="s">
        <v>432</v>
      </c>
      <c r="B387" s="2" t="s">
        <v>48</v>
      </c>
      <c r="C387" s="2" t="s">
        <v>13</v>
      </c>
      <c r="D387" s="4">
        <v>8644.99</v>
      </c>
      <c r="E387" s="2">
        <v>5</v>
      </c>
      <c r="F387" s="4">
        <v>43224.95</v>
      </c>
      <c r="G387" s="3">
        <v>45490</v>
      </c>
      <c r="H387" s="2" t="s">
        <v>14</v>
      </c>
      <c r="I387" s="2">
        <v>4.3</v>
      </c>
    </row>
    <row r="388" spans="1:9" x14ac:dyDescent="0.3">
      <c r="A388" s="2" t="s">
        <v>433</v>
      </c>
      <c r="B388" s="2" t="s">
        <v>84</v>
      </c>
      <c r="C388" s="2" t="s">
        <v>24</v>
      </c>
      <c r="D388" s="4">
        <v>27481.15</v>
      </c>
      <c r="E388" s="2">
        <v>2</v>
      </c>
      <c r="F388" s="4">
        <v>54962.3</v>
      </c>
      <c r="G388" s="3">
        <v>45592</v>
      </c>
      <c r="H388" s="2" t="s">
        <v>44</v>
      </c>
      <c r="I388" s="2">
        <v>3.2</v>
      </c>
    </row>
    <row r="389" spans="1:9" x14ac:dyDescent="0.3">
      <c r="A389" s="2" t="s">
        <v>434</v>
      </c>
      <c r="B389" s="2" t="s">
        <v>102</v>
      </c>
      <c r="C389" s="2" t="s">
        <v>13</v>
      </c>
      <c r="D389" s="4">
        <v>47819.23</v>
      </c>
      <c r="E389" s="2">
        <v>4</v>
      </c>
      <c r="F389" s="4">
        <v>191276.92</v>
      </c>
      <c r="G389" s="3">
        <v>45446</v>
      </c>
      <c r="H389" s="2" t="s">
        <v>30</v>
      </c>
      <c r="I389" s="2">
        <v>1.1000000000000001</v>
      </c>
    </row>
    <row r="390" spans="1:9" x14ac:dyDescent="0.3">
      <c r="A390" s="2" t="s">
        <v>435</v>
      </c>
      <c r="B390" s="2" t="s">
        <v>42</v>
      </c>
      <c r="C390" s="2" t="s">
        <v>21</v>
      </c>
      <c r="D390" s="4">
        <v>7145.81</v>
      </c>
      <c r="E390" s="2">
        <v>4</v>
      </c>
      <c r="F390" s="4">
        <v>28583.24</v>
      </c>
      <c r="G390" s="3">
        <v>45360</v>
      </c>
      <c r="H390" s="2" t="s">
        <v>30</v>
      </c>
      <c r="I390" s="2">
        <v>1.9</v>
      </c>
    </row>
    <row r="391" spans="1:9" x14ac:dyDescent="0.3">
      <c r="A391" s="2" t="s">
        <v>436</v>
      </c>
      <c r="B391" s="2" t="s">
        <v>84</v>
      </c>
      <c r="C391" s="2" t="s">
        <v>24</v>
      </c>
      <c r="D391" s="4">
        <v>29847.4</v>
      </c>
      <c r="E391" s="2">
        <v>3</v>
      </c>
      <c r="F391" s="4">
        <v>89542.2</v>
      </c>
      <c r="G391" s="3">
        <v>45447</v>
      </c>
      <c r="H391" s="2" t="s">
        <v>14</v>
      </c>
      <c r="I391" s="2">
        <v>2.9</v>
      </c>
    </row>
    <row r="392" spans="1:9" x14ac:dyDescent="0.3">
      <c r="A392" s="2" t="s">
        <v>437</v>
      </c>
      <c r="B392" s="2" t="s">
        <v>42</v>
      </c>
      <c r="C392" s="2" t="s">
        <v>21</v>
      </c>
      <c r="D392" s="4">
        <v>11186.35</v>
      </c>
      <c r="E392" s="2">
        <v>2</v>
      </c>
      <c r="F392" s="4">
        <v>22372.7</v>
      </c>
      <c r="G392" s="3">
        <v>45593</v>
      </c>
      <c r="H392" s="2" t="s">
        <v>44</v>
      </c>
      <c r="I392" s="2">
        <v>1.1000000000000001</v>
      </c>
    </row>
    <row r="393" spans="1:9" x14ac:dyDescent="0.3">
      <c r="A393" s="2" t="s">
        <v>438</v>
      </c>
      <c r="B393" s="2" t="s">
        <v>12</v>
      </c>
      <c r="C393" s="2" t="s">
        <v>13</v>
      </c>
      <c r="D393" s="4">
        <v>36535.74</v>
      </c>
      <c r="E393" s="2">
        <v>3</v>
      </c>
      <c r="F393" s="4">
        <v>109607.22</v>
      </c>
      <c r="G393" s="3">
        <v>45475</v>
      </c>
      <c r="H393" s="2" t="s">
        <v>18</v>
      </c>
      <c r="I393" s="2">
        <v>1.2</v>
      </c>
    </row>
    <row r="394" spans="1:9" x14ac:dyDescent="0.3">
      <c r="A394" s="2" t="s">
        <v>439</v>
      </c>
      <c r="B394" s="2" t="s">
        <v>32</v>
      </c>
      <c r="C394" s="2" t="s">
        <v>17</v>
      </c>
      <c r="D394" s="4">
        <v>12046.9</v>
      </c>
      <c r="E394" s="2">
        <v>3</v>
      </c>
      <c r="F394" s="4">
        <v>36140.699999999997</v>
      </c>
      <c r="G394" s="3">
        <v>45662</v>
      </c>
      <c r="H394" s="2" t="s">
        <v>44</v>
      </c>
      <c r="I394" s="2">
        <v>3.2</v>
      </c>
    </row>
    <row r="395" spans="1:9" x14ac:dyDescent="0.3">
      <c r="A395" s="2" t="s">
        <v>440</v>
      </c>
      <c r="B395" s="2" t="s">
        <v>71</v>
      </c>
      <c r="C395" s="2" t="s">
        <v>21</v>
      </c>
      <c r="D395" s="4">
        <v>7043.51</v>
      </c>
      <c r="E395" s="2">
        <v>4</v>
      </c>
      <c r="F395" s="4">
        <v>28174.04</v>
      </c>
      <c r="G395" s="3">
        <v>45363</v>
      </c>
      <c r="H395" s="2" t="s">
        <v>18</v>
      </c>
      <c r="I395" s="2">
        <v>2.2999999999999998</v>
      </c>
    </row>
    <row r="396" spans="1:9" x14ac:dyDescent="0.3">
      <c r="A396" s="2" t="s">
        <v>441</v>
      </c>
      <c r="B396" s="2" t="s">
        <v>32</v>
      </c>
      <c r="C396" s="2" t="s">
        <v>17</v>
      </c>
      <c r="D396" s="4">
        <v>34369.57</v>
      </c>
      <c r="E396" s="2">
        <v>4</v>
      </c>
      <c r="F396" s="4">
        <v>137478.28</v>
      </c>
      <c r="G396" s="3">
        <v>45504</v>
      </c>
      <c r="H396" s="2" t="s">
        <v>58</v>
      </c>
      <c r="I396" s="2">
        <v>1.6</v>
      </c>
    </row>
    <row r="397" spans="1:9" x14ac:dyDescent="0.3">
      <c r="A397" s="2" t="s">
        <v>442</v>
      </c>
      <c r="B397" s="2" t="s">
        <v>32</v>
      </c>
      <c r="C397" s="2" t="s">
        <v>17</v>
      </c>
      <c r="D397" s="4">
        <v>4827.49</v>
      </c>
      <c r="E397" s="2">
        <v>3</v>
      </c>
      <c r="F397" s="4">
        <v>14482.47</v>
      </c>
      <c r="G397" s="3">
        <v>45361</v>
      </c>
      <c r="H397" s="2" t="s">
        <v>14</v>
      </c>
      <c r="I397" s="2">
        <v>4.2</v>
      </c>
    </row>
    <row r="398" spans="1:9" x14ac:dyDescent="0.3">
      <c r="A398" s="2" t="s">
        <v>443</v>
      </c>
      <c r="B398" s="2" t="s">
        <v>42</v>
      </c>
      <c r="C398" s="2" t="s">
        <v>21</v>
      </c>
      <c r="D398" s="4">
        <v>14851.66</v>
      </c>
      <c r="E398" s="2">
        <v>2</v>
      </c>
      <c r="F398" s="4">
        <v>29703.32</v>
      </c>
      <c r="G398" s="3">
        <v>45665</v>
      </c>
      <c r="H398" s="2" t="s">
        <v>14</v>
      </c>
      <c r="I398" s="2">
        <v>1.9</v>
      </c>
    </row>
    <row r="399" spans="1:9" x14ac:dyDescent="0.3">
      <c r="A399" s="2" t="s">
        <v>444</v>
      </c>
      <c r="B399" s="2" t="s">
        <v>36</v>
      </c>
      <c r="C399" s="2" t="s">
        <v>17</v>
      </c>
      <c r="D399" s="4">
        <v>40248.269999999997</v>
      </c>
      <c r="E399" s="2">
        <v>3</v>
      </c>
      <c r="F399" s="4">
        <v>120744.81</v>
      </c>
      <c r="G399" s="3">
        <v>45401</v>
      </c>
      <c r="H399" s="2" t="s">
        <v>30</v>
      </c>
      <c r="I399" s="2">
        <v>3.9</v>
      </c>
    </row>
    <row r="400" spans="1:9" x14ac:dyDescent="0.3">
      <c r="A400" s="2" t="s">
        <v>445</v>
      </c>
      <c r="B400" s="2" t="s">
        <v>16</v>
      </c>
      <c r="C400" s="2" t="s">
        <v>17</v>
      </c>
      <c r="D400" s="4">
        <v>37135.360000000001</v>
      </c>
      <c r="E400" s="2">
        <v>2</v>
      </c>
      <c r="F400" s="4">
        <v>74270.720000000001</v>
      </c>
      <c r="G400" s="3">
        <v>45649</v>
      </c>
      <c r="H400" s="2" t="s">
        <v>58</v>
      </c>
      <c r="I400" s="2">
        <v>3</v>
      </c>
    </row>
    <row r="401" spans="1:9" x14ac:dyDescent="0.3">
      <c r="A401" s="2" t="s">
        <v>446</v>
      </c>
      <c r="B401" s="2" t="s">
        <v>77</v>
      </c>
      <c r="C401" s="2" t="s">
        <v>21</v>
      </c>
      <c r="D401" s="4">
        <v>25794.78</v>
      </c>
      <c r="E401" s="2">
        <v>5</v>
      </c>
      <c r="F401" s="4">
        <v>128973.9</v>
      </c>
      <c r="G401" s="3">
        <v>45517</v>
      </c>
      <c r="H401" s="2" t="s">
        <v>14</v>
      </c>
      <c r="I401" s="2">
        <v>1</v>
      </c>
    </row>
    <row r="402" spans="1:9" x14ac:dyDescent="0.3">
      <c r="A402" s="2" t="s">
        <v>447</v>
      </c>
      <c r="B402" s="2" t="s">
        <v>77</v>
      </c>
      <c r="C402" s="2" t="s">
        <v>21</v>
      </c>
      <c r="D402" s="4">
        <v>47564.29</v>
      </c>
      <c r="E402" s="2">
        <v>3</v>
      </c>
      <c r="F402" s="4">
        <v>142692.87</v>
      </c>
      <c r="G402" s="3">
        <v>45435</v>
      </c>
      <c r="H402" s="2" t="s">
        <v>58</v>
      </c>
      <c r="I402" s="2">
        <v>3.5</v>
      </c>
    </row>
    <row r="403" spans="1:9" x14ac:dyDescent="0.3">
      <c r="A403" s="2" t="s">
        <v>448</v>
      </c>
      <c r="B403" s="2" t="s">
        <v>29</v>
      </c>
      <c r="C403" s="2" t="s">
        <v>27</v>
      </c>
      <c r="D403" s="4">
        <v>5500.92</v>
      </c>
      <c r="E403" s="2">
        <v>3</v>
      </c>
      <c r="F403" s="4">
        <v>16502.759999999998</v>
      </c>
      <c r="G403" s="3">
        <v>45500</v>
      </c>
      <c r="H403" s="2" t="s">
        <v>14</v>
      </c>
      <c r="I403" s="2">
        <v>2.2999999999999998</v>
      </c>
    </row>
    <row r="404" spans="1:9" x14ac:dyDescent="0.3">
      <c r="A404" s="2" t="s">
        <v>449</v>
      </c>
      <c r="B404" s="2" t="s">
        <v>48</v>
      </c>
      <c r="C404" s="2" t="s">
        <v>13</v>
      </c>
      <c r="D404" s="4">
        <v>904.29</v>
      </c>
      <c r="E404" s="2">
        <v>2</v>
      </c>
      <c r="F404" s="4">
        <v>1808.58</v>
      </c>
      <c r="G404" s="3">
        <v>45413</v>
      </c>
      <c r="H404" s="2" t="s">
        <v>14</v>
      </c>
      <c r="I404" s="2">
        <v>3.5</v>
      </c>
    </row>
    <row r="405" spans="1:9" x14ac:dyDescent="0.3">
      <c r="A405" s="2" t="s">
        <v>450</v>
      </c>
      <c r="B405" s="2" t="s">
        <v>23</v>
      </c>
      <c r="C405" s="2" t="s">
        <v>24</v>
      </c>
      <c r="D405" s="4">
        <v>25035.46</v>
      </c>
      <c r="E405" s="2">
        <v>2</v>
      </c>
      <c r="F405" s="4">
        <v>50070.92</v>
      </c>
      <c r="G405" s="3">
        <v>45397</v>
      </c>
      <c r="H405" s="2" t="s">
        <v>14</v>
      </c>
      <c r="I405" s="2">
        <v>4.5</v>
      </c>
    </row>
    <row r="406" spans="1:9" x14ac:dyDescent="0.3">
      <c r="A406" s="2" t="s">
        <v>451</v>
      </c>
      <c r="B406" s="2" t="s">
        <v>32</v>
      </c>
      <c r="C406" s="2" t="s">
        <v>17</v>
      </c>
      <c r="D406" s="4">
        <v>30156.36</v>
      </c>
      <c r="E406" s="2">
        <v>5</v>
      </c>
      <c r="F406" s="4">
        <v>150781.79999999999</v>
      </c>
      <c r="G406" s="3">
        <v>45663</v>
      </c>
      <c r="H406" s="2" t="s">
        <v>18</v>
      </c>
      <c r="I406" s="2">
        <v>4.4000000000000004</v>
      </c>
    </row>
    <row r="407" spans="1:9" x14ac:dyDescent="0.3">
      <c r="A407" s="2" t="s">
        <v>452</v>
      </c>
      <c r="B407" s="2" t="s">
        <v>36</v>
      </c>
      <c r="C407" s="2" t="s">
        <v>17</v>
      </c>
      <c r="D407" s="4">
        <v>42189.9</v>
      </c>
      <c r="E407" s="2">
        <v>1</v>
      </c>
      <c r="F407" s="4">
        <v>42189.9</v>
      </c>
      <c r="G407" s="3">
        <v>45669</v>
      </c>
      <c r="H407" s="2" t="s">
        <v>49</v>
      </c>
      <c r="I407" s="2">
        <v>3.4</v>
      </c>
    </row>
    <row r="408" spans="1:9" x14ac:dyDescent="0.3">
      <c r="A408" s="2" t="s">
        <v>453</v>
      </c>
      <c r="B408" s="2" t="s">
        <v>16</v>
      </c>
      <c r="C408" s="2" t="s">
        <v>17</v>
      </c>
      <c r="D408" s="4">
        <v>41122.81</v>
      </c>
      <c r="E408" s="2">
        <v>2</v>
      </c>
      <c r="F408" s="4">
        <v>82245.62</v>
      </c>
      <c r="G408" s="3">
        <v>45636</v>
      </c>
      <c r="H408" s="2" t="s">
        <v>58</v>
      </c>
      <c r="I408" s="2">
        <v>4.8</v>
      </c>
    </row>
    <row r="409" spans="1:9" x14ac:dyDescent="0.3">
      <c r="A409" s="2" t="s">
        <v>454</v>
      </c>
      <c r="B409" s="2" t="s">
        <v>56</v>
      </c>
      <c r="C409" s="2" t="s">
        <v>17</v>
      </c>
      <c r="D409" s="4">
        <v>21705.78</v>
      </c>
      <c r="E409" s="2">
        <v>1</v>
      </c>
      <c r="F409" s="4">
        <v>21705.78</v>
      </c>
      <c r="G409" s="3">
        <v>45570</v>
      </c>
      <c r="H409" s="2" t="s">
        <v>44</v>
      </c>
      <c r="I409" s="2">
        <v>1.1000000000000001</v>
      </c>
    </row>
    <row r="410" spans="1:9" x14ac:dyDescent="0.3">
      <c r="A410" s="2" t="s">
        <v>455</v>
      </c>
      <c r="B410" s="2" t="s">
        <v>84</v>
      </c>
      <c r="C410" s="2" t="s">
        <v>24</v>
      </c>
      <c r="D410" s="4">
        <v>28391.65</v>
      </c>
      <c r="E410" s="2">
        <v>3</v>
      </c>
      <c r="F410" s="4">
        <v>85174.95</v>
      </c>
      <c r="G410" s="3">
        <v>45637</v>
      </c>
      <c r="H410" s="2" t="s">
        <v>14</v>
      </c>
      <c r="I410" s="2">
        <v>2.5</v>
      </c>
    </row>
    <row r="411" spans="1:9" x14ac:dyDescent="0.3">
      <c r="A411" s="2" t="s">
        <v>456</v>
      </c>
      <c r="B411" s="2" t="s">
        <v>29</v>
      </c>
      <c r="C411" s="2" t="s">
        <v>27</v>
      </c>
      <c r="D411" s="4">
        <v>40031.86</v>
      </c>
      <c r="E411" s="2">
        <v>2</v>
      </c>
      <c r="F411" s="4">
        <v>80063.72</v>
      </c>
      <c r="G411" s="3">
        <v>45642</v>
      </c>
      <c r="H411" s="2" t="s">
        <v>44</v>
      </c>
      <c r="I411" s="2">
        <v>1.9</v>
      </c>
    </row>
    <row r="412" spans="1:9" x14ac:dyDescent="0.3">
      <c r="A412" s="2" t="s">
        <v>457</v>
      </c>
      <c r="B412" s="2" t="s">
        <v>29</v>
      </c>
      <c r="C412" s="2" t="s">
        <v>27</v>
      </c>
      <c r="D412" s="4">
        <v>41248.019999999997</v>
      </c>
      <c r="E412" s="2">
        <v>4</v>
      </c>
      <c r="F412" s="4">
        <v>164992.07999999999</v>
      </c>
      <c r="G412" s="3">
        <v>45669</v>
      </c>
      <c r="H412" s="2" t="s">
        <v>49</v>
      </c>
      <c r="I412" s="2">
        <v>2.6</v>
      </c>
    </row>
    <row r="413" spans="1:9" x14ac:dyDescent="0.3">
      <c r="A413" s="2" t="s">
        <v>458</v>
      </c>
      <c r="B413" s="2" t="s">
        <v>77</v>
      </c>
      <c r="C413" s="2" t="s">
        <v>21</v>
      </c>
      <c r="D413" s="4">
        <v>35325.379999999997</v>
      </c>
      <c r="E413" s="2">
        <v>2</v>
      </c>
      <c r="F413" s="4">
        <v>70650.759999999995</v>
      </c>
      <c r="G413" s="3">
        <v>45430</v>
      </c>
      <c r="H413" s="2" t="s">
        <v>18</v>
      </c>
      <c r="I413" s="2">
        <v>4.0999999999999996</v>
      </c>
    </row>
    <row r="414" spans="1:9" x14ac:dyDescent="0.3">
      <c r="A414" s="2" t="s">
        <v>459</v>
      </c>
      <c r="B414" s="2" t="s">
        <v>29</v>
      </c>
      <c r="C414" s="2" t="s">
        <v>27</v>
      </c>
      <c r="D414" s="4">
        <v>45866.22</v>
      </c>
      <c r="E414" s="2">
        <v>1</v>
      </c>
      <c r="F414" s="4">
        <v>45866.22</v>
      </c>
      <c r="G414" s="3">
        <v>45635</v>
      </c>
      <c r="H414" s="2" t="s">
        <v>44</v>
      </c>
      <c r="I414" s="2">
        <v>3.9</v>
      </c>
    </row>
    <row r="415" spans="1:9" x14ac:dyDescent="0.3">
      <c r="A415" s="2" t="s">
        <v>460</v>
      </c>
      <c r="B415" s="2" t="s">
        <v>153</v>
      </c>
      <c r="C415" s="2" t="s">
        <v>17</v>
      </c>
      <c r="D415" s="4">
        <v>42975.360000000001</v>
      </c>
      <c r="E415" s="2">
        <v>4</v>
      </c>
      <c r="F415" s="4">
        <v>171901.44</v>
      </c>
      <c r="G415" s="3">
        <v>45522</v>
      </c>
      <c r="H415" s="2" t="s">
        <v>44</v>
      </c>
      <c r="I415" s="2">
        <v>3.3</v>
      </c>
    </row>
    <row r="416" spans="1:9" x14ac:dyDescent="0.3">
      <c r="A416" s="2" t="s">
        <v>461</v>
      </c>
      <c r="B416" s="2" t="s">
        <v>38</v>
      </c>
      <c r="C416" s="2" t="s">
        <v>24</v>
      </c>
      <c r="D416" s="4">
        <v>7532.86</v>
      </c>
      <c r="E416" s="2">
        <v>5</v>
      </c>
      <c r="F416" s="4">
        <v>37664.300000000003</v>
      </c>
      <c r="G416" s="3">
        <v>45695</v>
      </c>
      <c r="H416" s="2" t="s">
        <v>18</v>
      </c>
      <c r="I416" s="2">
        <v>1.5</v>
      </c>
    </row>
    <row r="417" spans="1:9" x14ac:dyDescent="0.3">
      <c r="A417" s="2" t="s">
        <v>462</v>
      </c>
      <c r="B417" s="2" t="s">
        <v>20</v>
      </c>
      <c r="C417" s="2" t="s">
        <v>21</v>
      </c>
      <c r="D417" s="4">
        <v>39931.75</v>
      </c>
      <c r="E417" s="2">
        <v>4</v>
      </c>
      <c r="F417" s="4">
        <v>159727</v>
      </c>
      <c r="G417" s="3">
        <v>45401</v>
      </c>
      <c r="H417" s="2" t="s">
        <v>49</v>
      </c>
      <c r="I417" s="2">
        <v>2.4</v>
      </c>
    </row>
    <row r="418" spans="1:9" x14ac:dyDescent="0.3">
      <c r="A418" s="2" t="s">
        <v>463</v>
      </c>
      <c r="B418" s="2" t="s">
        <v>84</v>
      </c>
      <c r="C418" s="2" t="s">
        <v>24</v>
      </c>
      <c r="D418" s="4">
        <v>20760.439999999999</v>
      </c>
      <c r="E418" s="2">
        <v>4</v>
      </c>
      <c r="F418" s="4">
        <v>83041.759999999995</v>
      </c>
      <c r="G418" s="3">
        <v>45361</v>
      </c>
      <c r="H418" s="2" t="s">
        <v>44</v>
      </c>
      <c r="I418" s="2">
        <v>2.4</v>
      </c>
    </row>
    <row r="419" spans="1:9" x14ac:dyDescent="0.3">
      <c r="A419" s="2" t="s">
        <v>464</v>
      </c>
      <c r="B419" s="2" t="s">
        <v>56</v>
      </c>
      <c r="C419" s="2" t="s">
        <v>17</v>
      </c>
      <c r="D419" s="4">
        <v>29466.3</v>
      </c>
      <c r="E419" s="2">
        <v>5</v>
      </c>
      <c r="F419" s="4">
        <v>147331.5</v>
      </c>
      <c r="G419" s="3">
        <v>45496</v>
      </c>
      <c r="H419" s="2" t="s">
        <v>58</v>
      </c>
      <c r="I419" s="2">
        <v>1.3</v>
      </c>
    </row>
    <row r="420" spans="1:9" x14ac:dyDescent="0.3">
      <c r="A420" s="2" t="s">
        <v>465</v>
      </c>
      <c r="B420" s="2" t="s">
        <v>20</v>
      </c>
      <c r="C420" s="2" t="s">
        <v>21</v>
      </c>
      <c r="D420" s="4">
        <v>756.85</v>
      </c>
      <c r="E420" s="2">
        <v>3</v>
      </c>
      <c r="F420" s="4">
        <v>2270.5500000000002</v>
      </c>
      <c r="G420" s="3">
        <v>45600</v>
      </c>
      <c r="H420" s="2" t="s">
        <v>18</v>
      </c>
      <c r="I420" s="2">
        <v>4.8</v>
      </c>
    </row>
    <row r="421" spans="1:9" x14ac:dyDescent="0.3">
      <c r="A421" s="2" t="s">
        <v>466</v>
      </c>
      <c r="B421" s="2" t="s">
        <v>23</v>
      </c>
      <c r="C421" s="2" t="s">
        <v>24</v>
      </c>
      <c r="D421" s="4">
        <v>43711.45</v>
      </c>
      <c r="E421" s="2">
        <v>4</v>
      </c>
      <c r="F421" s="4">
        <v>174845.8</v>
      </c>
      <c r="G421" s="3">
        <v>45470</v>
      </c>
      <c r="H421" s="2" t="s">
        <v>30</v>
      </c>
      <c r="I421" s="2">
        <v>4.5</v>
      </c>
    </row>
    <row r="422" spans="1:9" x14ac:dyDescent="0.3">
      <c r="A422" s="2" t="s">
        <v>467</v>
      </c>
      <c r="B422" s="2" t="s">
        <v>48</v>
      </c>
      <c r="C422" s="2" t="s">
        <v>13</v>
      </c>
      <c r="D422" s="4">
        <v>1134.78</v>
      </c>
      <c r="E422" s="2">
        <v>2</v>
      </c>
      <c r="F422" s="4">
        <v>2269.56</v>
      </c>
      <c r="G422" s="3">
        <v>45452</v>
      </c>
      <c r="H422" s="2" t="s">
        <v>14</v>
      </c>
      <c r="I422" s="2">
        <v>3.9</v>
      </c>
    </row>
    <row r="423" spans="1:9" x14ac:dyDescent="0.3">
      <c r="A423" s="2" t="s">
        <v>468</v>
      </c>
      <c r="B423" s="2" t="s">
        <v>122</v>
      </c>
      <c r="C423" s="2" t="s">
        <v>27</v>
      </c>
      <c r="D423" s="4">
        <v>6859</v>
      </c>
      <c r="E423" s="2">
        <v>3</v>
      </c>
      <c r="F423" s="4">
        <v>20577</v>
      </c>
      <c r="G423" s="3">
        <v>45570</v>
      </c>
      <c r="H423" s="2" t="s">
        <v>58</v>
      </c>
      <c r="I423" s="2">
        <v>1.6</v>
      </c>
    </row>
    <row r="424" spans="1:9" x14ac:dyDescent="0.3">
      <c r="A424" s="2" t="s">
        <v>469</v>
      </c>
      <c r="B424" s="2" t="s">
        <v>102</v>
      </c>
      <c r="C424" s="2" t="s">
        <v>13</v>
      </c>
      <c r="D424" s="4">
        <v>28818.74</v>
      </c>
      <c r="E424" s="2">
        <v>3</v>
      </c>
      <c r="F424" s="4">
        <v>86456.22</v>
      </c>
      <c r="G424" s="3">
        <v>45470</v>
      </c>
      <c r="H424" s="2" t="s">
        <v>14</v>
      </c>
      <c r="I424" s="2">
        <v>1.4</v>
      </c>
    </row>
    <row r="425" spans="1:9" x14ac:dyDescent="0.3">
      <c r="A425" s="2" t="s">
        <v>470</v>
      </c>
      <c r="B425" s="2" t="s">
        <v>73</v>
      </c>
      <c r="C425" s="2" t="s">
        <v>24</v>
      </c>
      <c r="D425" s="4">
        <v>25233.95</v>
      </c>
      <c r="E425" s="2">
        <v>4</v>
      </c>
      <c r="F425" s="4">
        <v>100935.8</v>
      </c>
      <c r="G425" s="3">
        <v>45590</v>
      </c>
      <c r="H425" s="2" t="s">
        <v>44</v>
      </c>
      <c r="I425" s="2">
        <v>4.0999999999999996</v>
      </c>
    </row>
    <row r="426" spans="1:9" x14ac:dyDescent="0.3">
      <c r="A426" s="2" t="s">
        <v>471</v>
      </c>
      <c r="B426" s="2" t="s">
        <v>12</v>
      </c>
      <c r="C426" s="2" t="s">
        <v>13</v>
      </c>
      <c r="D426" s="4">
        <v>28577.34</v>
      </c>
      <c r="E426" s="2">
        <v>1</v>
      </c>
      <c r="F426" s="4">
        <v>28577.34</v>
      </c>
      <c r="G426" s="3">
        <v>45524</v>
      </c>
      <c r="H426" s="2" t="s">
        <v>18</v>
      </c>
      <c r="I426" s="2">
        <v>2.7</v>
      </c>
    </row>
    <row r="427" spans="1:9" x14ac:dyDescent="0.3">
      <c r="A427" s="2" t="s">
        <v>472</v>
      </c>
      <c r="B427" s="2" t="s">
        <v>62</v>
      </c>
      <c r="C427" s="2" t="s">
        <v>27</v>
      </c>
      <c r="D427" s="4">
        <v>7322.87</v>
      </c>
      <c r="E427" s="2">
        <v>3</v>
      </c>
      <c r="F427" s="4">
        <v>21968.61</v>
      </c>
      <c r="G427" s="3">
        <v>45344</v>
      </c>
      <c r="H427" s="2" t="s">
        <v>44</v>
      </c>
      <c r="I427" s="2">
        <v>5</v>
      </c>
    </row>
    <row r="428" spans="1:9" x14ac:dyDescent="0.3">
      <c r="A428" s="2" t="s">
        <v>473</v>
      </c>
      <c r="B428" s="2" t="s">
        <v>95</v>
      </c>
      <c r="C428" s="2" t="s">
        <v>13</v>
      </c>
      <c r="D428" s="4">
        <v>25144.48</v>
      </c>
      <c r="E428" s="2">
        <v>4</v>
      </c>
      <c r="F428" s="4">
        <v>100577.92</v>
      </c>
      <c r="G428" s="3">
        <v>45417</v>
      </c>
      <c r="H428" s="2" t="s">
        <v>58</v>
      </c>
      <c r="I428" s="2">
        <v>1.3</v>
      </c>
    </row>
    <row r="429" spans="1:9" x14ac:dyDescent="0.3">
      <c r="A429" s="2" t="s">
        <v>474</v>
      </c>
      <c r="B429" s="2" t="s">
        <v>29</v>
      </c>
      <c r="C429" s="2" t="s">
        <v>27</v>
      </c>
      <c r="D429" s="4">
        <v>16289.17</v>
      </c>
      <c r="E429" s="2">
        <v>5</v>
      </c>
      <c r="F429" s="4">
        <v>81445.850000000006</v>
      </c>
      <c r="G429" s="3">
        <v>45610</v>
      </c>
      <c r="H429" s="2" t="s">
        <v>58</v>
      </c>
      <c r="I429" s="2">
        <v>2.6</v>
      </c>
    </row>
    <row r="430" spans="1:9" x14ac:dyDescent="0.3">
      <c r="A430" s="2" t="s">
        <v>475</v>
      </c>
      <c r="B430" s="2" t="s">
        <v>48</v>
      </c>
      <c r="C430" s="2" t="s">
        <v>13</v>
      </c>
      <c r="D430" s="4">
        <v>24973.13</v>
      </c>
      <c r="E430" s="2">
        <v>3</v>
      </c>
      <c r="F430" s="4">
        <v>74919.39</v>
      </c>
      <c r="G430" s="3">
        <v>45634</v>
      </c>
      <c r="H430" s="2" t="s">
        <v>14</v>
      </c>
      <c r="I430" s="2">
        <v>3.2</v>
      </c>
    </row>
    <row r="431" spans="1:9" x14ac:dyDescent="0.3">
      <c r="A431" s="2" t="s">
        <v>476</v>
      </c>
      <c r="B431" s="2" t="s">
        <v>26</v>
      </c>
      <c r="C431" s="2" t="s">
        <v>27</v>
      </c>
      <c r="D431" s="4">
        <v>5804.38</v>
      </c>
      <c r="E431" s="2">
        <v>2</v>
      </c>
      <c r="F431" s="4">
        <v>11608.76</v>
      </c>
      <c r="G431" s="3">
        <v>45428</v>
      </c>
      <c r="H431" s="2" t="s">
        <v>44</v>
      </c>
      <c r="I431" s="2">
        <v>2.2000000000000002</v>
      </c>
    </row>
    <row r="432" spans="1:9" x14ac:dyDescent="0.3">
      <c r="A432" s="2" t="s">
        <v>477</v>
      </c>
      <c r="B432" s="2" t="s">
        <v>16</v>
      </c>
      <c r="C432" s="2" t="s">
        <v>17</v>
      </c>
      <c r="D432" s="4">
        <v>43502.85</v>
      </c>
      <c r="E432" s="2">
        <v>1</v>
      </c>
      <c r="F432" s="4">
        <v>43502.85</v>
      </c>
      <c r="G432" s="3">
        <v>45364</v>
      </c>
      <c r="H432" s="2" t="s">
        <v>58</v>
      </c>
      <c r="I432" s="2">
        <v>4.2</v>
      </c>
    </row>
    <row r="433" spans="1:9" x14ac:dyDescent="0.3">
      <c r="A433" s="2" t="s">
        <v>478</v>
      </c>
      <c r="B433" s="2" t="s">
        <v>46</v>
      </c>
      <c r="C433" s="2" t="s">
        <v>24</v>
      </c>
      <c r="D433" s="4">
        <v>46770.01</v>
      </c>
      <c r="E433" s="2">
        <v>5</v>
      </c>
      <c r="F433" s="4">
        <v>233850.05</v>
      </c>
      <c r="G433" s="3">
        <v>45392</v>
      </c>
      <c r="H433" s="2" t="s">
        <v>58</v>
      </c>
      <c r="I433" s="2">
        <v>2.9</v>
      </c>
    </row>
    <row r="434" spans="1:9" x14ac:dyDescent="0.3">
      <c r="A434" s="2" t="s">
        <v>479</v>
      </c>
      <c r="B434" s="2" t="s">
        <v>73</v>
      </c>
      <c r="C434" s="2" t="s">
        <v>24</v>
      </c>
      <c r="D434" s="4">
        <v>38160.980000000003</v>
      </c>
      <c r="E434" s="2">
        <v>2</v>
      </c>
      <c r="F434" s="4">
        <v>76321.960000000006</v>
      </c>
      <c r="G434" s="3">
        <v>45382</v>
      </c>
      <c r="H434" s="2" t="s">
        <v>14</v>
      </c>
      <c r="I434" s="2">
        <v>4</v>
      </c>
    </row>
    <row r="435" spans="1:9" x14ac:dyDescent="0.3">
      <c r="A435" s="2" t="s">
        <v>480</v>
      </c>
      <c r="B435" s="2" t="s">
        <v>84</v>
      </c>
      <c r="C435" s="2" t="s">
        <v>24</v>
      </c>
      <c r="D435" s="4">
        <v>14797.27</v>
      </c>
      <c r="E435" s="2">
        <v>2</v>
      </c>
      <c r="F435" s="4">
        <v>29594.54</v>
      </c>
      <c r="G435" s="3">
        <v>45682</v>
      </c>
      <c r="H435" s="2" t="s">
        <v>18</v>
      </c>
      <c r="I435" s="2">
        <v>3.4</v>
      </c>
    </row>
    <row r="436" spans="1:9" x14ac:dyDescent="0.3">
      <c r="A436" s="2" t="s">
        <v>481</v>
      </c>
      <c r="B436" s="2" t="s">
        <v>77</v>
      </c>
      <c r="C436" s="2" t="s">
        <v>21</v>
      </c>
      <c r="D436" s="4">
        <v>16951.57</v>
      </c>
      <c r="E436" s="2">
        <v>5</v>
      </c>
      <c r="F436" s="4">
        <v>84757.85</v>
      </c>
      <c r="G436" s="3">
        <v>45379</v>
      </c>
      <c r="H436" s="2" t="s">
        <v>30</v>
      </c>
      <c r="I436" s="2">
        <v>2</v>
      </c>
    </row>
    <row r="437" spans="1:9" x14ac:dyDescent="0.3">
      <c r="A437" s="2" t="s">
        <v>482</v>
      </c>
      <c r="B437" s="2" t="s">
        <v>46</v>
      </c>
      <c r="C437" s="2" t="s">
        <v>24</v>
      </c>
      <c r="D437" s="4">
        <v>20087.650000000001</v>
      </c>
      <c r="E437" s="2">
        <v>2</v>
      </c>
      <c r="F437" s="4">
        <v>40175.300000000003</v>
      </c>
      <c r="G437" s="3">
        <v>45592</v>
      </c>
      <c r="H437" s="2" t="s">
        <v>30</v>
      </c>
      <c r="I437" s="2">
        <v>2.7</v>
      </c>
    </row>
    <row r="438" spans="1:9" x14ac:dyDescent="0.3">
      <c r="A438" s="2" t="s">
        <v>483</v>
      </c>
      <c r="B438" s="2" t="s">
        <v>20</v>
      </c>
      <c r="C438" s="2" t="s">
        <v>21</v>
      </c>
      <c r="D438" s="4">
        <v>45544.54</v>
      </c>
      <c r="E438" s="2">
        <v>4</v>
      </c>
      <c r="F438" s="4">
        <v>182178.16</v>
      </c>
      <c r="G438" s="3">
        <v>45405</v>
      </c>
      <c r="H438" s="2" t="s">
        <v>44</v>
      </c>
      <c r="I438" s="2">
        <v>3</v>
      </c>
    </row>
    <row r="439" spans="1:9" x14ac:dyDescent="0.3">
      <c r="A439" s="2" t="s">
        <v>484</v>
      </c>
      <c r="B439" s="2" t="s">
        <v>77</v>
      </c>
      <c r="C439" s="2" t="s">
        <v>21</v>
      </c>
      <c r="D439" s="4">
        <v>4986.8999999999996</v>
      </c>
      <c r="E439" s="2">
        <v>1</v>
      </c>
      <c r="F439" s="4">
        <v>4986.8999999999996</v>
      </c>
      <c r="G439" s="3">
        <v>45649</v>
      </c>
      <c r="H439" s="2" t="s">
        <v>44</v>
      </c>
      <c r="I439" s="2">
        <v>4.4000000000000004</v>
      </c>
    </row>
    <row r="440" spans="1:9" x14ac:dyDescent="0.3">
      <c r="A440" s="2" t="s">
        <v>485</v>
      </c>
      <c r="B440" s="2" t="s">
        <v>62</v>
      </c>
      <c r="C440" s="2" t="s">
        <v>27</v>
      </c>
      <c r="D440" s="4">
        <v>37890.559999999998</v>
      </c>
      <c r="E440" s="2">
        <v>1</v>
      </c>
      <c r="F440" s="4">
        <v>37890.559999999998</v>
      </c>
      <c r="G440" s="3">
        <v>45473</v>
      </c>
      <c r="H440" s="2" t="s">
        <v>44</v>
      </c>
      <c r="I440" s="2">
        <v>2.4</v>
      </c>
    </row>
    <row r="441" spans="1:9" x14ac:dyDescent="0.3">
      <c r="A441" s="2" t="s">
        <v>486</v>
      </c>
      <c r="B441" s="2" t="s">
        <v>38</v>
      </c>
      <c r="C441" s="2" t="s">
        <v>24</v>
      </c>
      <c r="D441" s="4">
        <v>26947.54</v>
      </c>
      <c r="E441" s="2">
        <v>2</v>
      </c>
      <c r="F441" s="4">
        <v>53895.08</v>
      </c>
      <c r="G441" s="3">
        <v>45448</v>
      </c>
      <c r="H441" s="2" t="s">
        <v>58</v>
      </c>
      <c r="I441" s="2">
        <v>4.0999999999999996</v>
      </c>
    </row>
    <row r="442" spans="1:9" x14ac:dyDescent="0.3">
      <c r="A442" s="2" t="s">
        <v>487</v>
      </c>
      <c r="B442" s="2" t="s">
        <v>84</v>
      </c>
      <c r="C442" s="2" t="s">
        <v>24</v>
      </c>
      <c r="D442" s="4">
        <v>16929.740000000002</v>
      </c>
      <c r="E442" s="2">
        <v>3</v>
      </c>
      <c r="F442" s="4">
        <v>50789.22</v>
      </c>
      <c r="G442" s="3">
        <v>45368</v>
      </c>
      <c r="H442" s="2" t="s">
        <v>30</v>
      </c>
      <c r="I442" s="2">
        <v>1.5</v>
      </c>
    </row>
    <row r="443" spans="1:9" x14ac:dyDescent="0.3">
      <c r="A443" s="2" t="s">
        <v>488</v>
      </c>
      <c r="B443" s="2" t="s">
        <v>46</v>
      </c>
      <c r="C443" s="2" t="s">
        <v>24</v>
      </c>
      <c r="D443" s="4">
        <v>30310.92</v>
      </c>
      <c r="E443" s="2">
        <v>3</v>
      </c>
      <c r="F443" s="4">
        <v>90932.76</v>
      </c>
      <c r="G443" s="3">
        <v>45402</v>
      </c>
      <c r="H443" s="2" t="s">
        <v>18</v>
      </c>
      <c r="I443" s="2">
        <v>3.5</v>
      </c>
    </row>
    <row r="444" spans="1:9" x14ac:dyDescent="0.3">
      <c r="A444" s="2" t="s">
        <v>489</v>
      </c>
      <c r="B444" s="2" t="s">
        <v>12</v>
      </c>
      <c r="C444" s="2" t="s">
        <v>13</v>
      </c>
      <c r="D444" s="4">
        <v>33643.5</v>
      </c>
      <c r="E444" s="2">
        <v>5</v>
      </c>
      <c r="F444" s="4">
        <v>168217.5</v>
      </c>
      <c r="G444" s="3">
        <v>45459</v>
      </c>
      <c r="H444" s="2" t="s">
        <v>18</v>
      </c>
      <c r="I444" s="2">
        <v>4.2</v>
      </c>
    </row>
    <row r="445" spans="1:9" x14ac:dyDescent="0.3">
      <c r="A445" s="2" t="s">
        <v>490</v>
      </c>
      <c r="B445" s="2" t="s">
        <v>52</v>
      </c>
      <c r="C445" s="2" t="s">
        <v>13</v>
      </c>
      <c r="D445" s="4">
        <v>27847.81</v>
      </c>
      <c r="E445" s="2">
        <v>3</v>
      </c>
      <c r="F445" s="4">
        <v>83543.429999999993</v>
      </c>
      <c r="G445" s="3">
        <v>45551</v>
      </c>
      <c r="H445" s="2" t="s">
        <v>58</v>
      </c>
      <c r="I445" s="2">
        <v>4.3</v>
      </c>
    </row>
    <row r="446" spans="1:9" x14ac:dyDescent="0.3">
      <c r="A446" s="2" t="s">
        <v>491</v>
      </c>
      <c r="B446" s="2" t="s">
        <v>12</v>
      </c>
      <c r="C446" s="2" t="s">
        <v>13</v>
      </c>
      <c r="D446" s="4">
        <v>19055.03</v>
      </c>
      <c r="E446" s="2">
        <v>3</v>
      </c>
      <c r="F446" s="4">
        <v>57165.09</v>
      </c>
      <c r="G446" s="3">
        <v>45529</v>
      </c>
      <c r="H446" s="2" t="s">
        <v>49</v>
      </c>
      <c r="I446" s="2">
        <v>4.3</v>
      </c>
    </row>
    <row r="447" spans="1:9" x14ac:dyDescent="0.3">
      <c r="A447" s="2" t="s">
        <v>492</v>
      </c>
      <c r="B447" s="2" t="s">
        <v>102</v>
      </c>
      <c r="C447" s="2" t="s">
        <v>13</v>
      </c>
      <c r="D447" s="4">
        <v>24012.7</v>
      </c>
      <c r="E447" s="2">
        <v>1</v>
      </c>
      <c r="F447" s="4">
        <v>24012.7</v>
      </c>
      <c r="G447" s="3">
        <v>45622</v>
      </c>
      <c r="H447" s="2" t="s">
        <v>49</v>
      </c>
      <c r="I447" s="2">
        <v>4.8</v>
      </c>
    </row>
    <row r="448" spans="1:9" x14ac:dyDescent="0.3">
      <c r="A448" s="2" t="s">
        <v>493</v>
      </c>
      <c r="B448" s="2" t="s">
        <v>32</v>
      </c>
      <c r="C448" s="2" t="s">
        <v>17</v>
      </c>
      <c r="D448" s="4">
        <v>8182.19</v>
      </c>
      <c r="E448" s="2">
        <v>2</v>
      </c>
      <c r="F448" s="4">
        <v>16364.38</v>
      </c>
      <c r="G448" s="3">
        <v>45508</v>
      </c>
      <c r="H448" s="2" t="s">
        <v>44</v>
      </c>
      <c r="I448" s="2">
        <v>4.2</v>
      </c>
    </row>
    <row r="449" spans="1:9" x14ac:dyDescent="0.3">
      <c r="A449" s="2" t="s">
        <v>494</v>
      </c>
      <c r="B449" s="2" t="s">
        <v>71</v>
      </c>
      <c r="C449" s="2" t="s">
        <v>21</v>
      </c>
      <c r="D449" s="4">
        <v>35810.629999999997</v>
      </c>
      <c r="E449" s="2">
        <v>4</v>
      </c>
      <c r="F449" s="4">
        <v>143242.51999999999</v>
      </c>
      <c r="G449" s="3">
        <v>45388</v>
      </c>
      <c r="H449" s="2" t="s">
        <v>18</v>
      </c>
      <c r="I449" s="2">
        <v>1.2</v>
      </c>
    </row>
    <row r="450" spans="1:9" x14ac:dyDescent="0.3">
      <c r="A450" s="2" t="s">
        <v>495</v>
      </c>
      <c r="B450" s="2" t="s">
        <v>56</v>
      </c>
      <c r="C450" s="2" t="s">
        <v>17</v>
      </c>
      <c r="D450" s="4">
        <v>23433.86</v>
      </c>
      <c r="E450" s="2">
        <v>1</v>
      </c>
      <c r="F450" s="4">
        <v>23433.86</v>
      </c>
      <c r="G450" s="3">
        <v>45521</v>
      </c>
      <c r="H450" s="2" t="s">
        <v>44</v>
      </c>
      <c r="I450" s="2">
        <v>3.8</v>
      </c>
    </row>
    <row r="451" spans="1:9" x14ac:dyDescent="0.3">
      <c r="A451" s="2" t="s">
        <v>496</v>
      </c>
      <c r="B451" s="2" t="s">
        <v>38</v>
      </c>
      <c r="C451" s="2" t="s">
        <v>24</v>
      </c>
      <c r="D451" s="4">
        <v>42946.11</v>
      </c>
      <c r="E451" s="2">
        <v>4</v>
      </c>
      <c r="F451" s="4">
        <v>171784.44</v>
      </c>
      <c r="G451" s="3">
        <v>45535</v>
      </c>
      <c r="H451" s="2" t="s">
        <v>18</v>
      </c>
      <c r="I451" s="2">
        <v>3.2</v>
      </c>
    </row>
    <row r="452" spans="1:9" x14ac:dyDescent="0.3">
      <c r="A452" s="2" t="s">
        <v>497</v>
      </c>
      <c r="B452" s="2" t="s">
        <v>32</v>
      </c>
      <c r="C452" s="2" t="s">
        <v>17</v>
      </c>
      <c r="D452" s="4">
        <v>3995.44</v>
      </c>
      <c r="E452" s="2">
        <v>4</v>
      </c>
      <c r="F452" s="4">
        <v>15981.76</v>
      </c>
      <c r="G452" s="3">
        <v>45438</v>
      </c>
      <c r="H452" s="2" t="s">
        <v>14</v>
      </c>
      <c r="I452" s="2">
        <v>4</v>
      </c>
    </row>
    <row r="453" spans="1:9" x14ac:dyDescent="0.3">
      <c r="A453" s="2" t="s">
        <v>498</v>
      </c>
      <c r="B453" s="2" t="s">
        <v>20</v>
      </c>
      <c r="C453" s="2" t="s">
        <v>21</v>
      </c>
      <c r="D453" s="4">
        <v>38728.75</v>
      </c>
      <c r="E453" s="2">
        <v>1</v>
      </c>
      <c r="F453" s="4">
        <v>38728.75</v>
      </c>
      <c r="G453" s="3">
        <v>45570</v>
      </c>
      <c r="H453" s="2" t="s">
        <v>30</v>
      </c>
      <c r="I453" s="2">
        <v>4</v>
      </c>
    </row>
    <row r="454" spans="1:9" x14ac:dyDescent="0.3">
      <c r="A454" s="2" t="s">
        <v>499</v>
      </c>
      <c r="B454" s="2" t="s">
        <v>36</v>
      </c>
      <c r="C454" s="2" t="s">
        <v>17</v>
      </c>
      <c r="D454" s="4">
        <v>46205.47</v>
      </c>
      <c r="E454" s="2">
        <v>3</v>
      </c>
      <c r="F454" s="4">
        <v>138616.41</v>
      </c>
      <c r="G454" s="3">
        <v>45542</v>
      </c>
      <c r="H454" s="2" t="s">
        <v>49</v>
      </c>
      <c r="I454" s="2">
        <v>2.7</v>
      </c>
    </row>
    <row r="455" spans="1:9" x14ac:dyDescent="0.3">
      <c r="A455" s="2" t="s">
        <v>500</v>
      </c>
      <c r="B455" s="2" t="s">
        <v>16</v>
      </c>
      <c r="C455" s="2" t="s">
        <v>17</v>
      </c>
      <c r="D455" s="4">
        <v>7631.48</v>
      </c>
      <c r="E455" s="2">
        <v>3</v>
      </c>
      <c r="F455" s="4">
        <v>22894.44</v>
      </c>
      <c r="G455" s="3">
        <v>45491</v>
      </c>
      <c r="H455" s="2" t="s">
        <v>14</v>
      </c>
      <c r="I455" s="2">
        <v>3</v>
      </c>
    </row>
    <row r="456" spans="1:9" x14ac:dyDescent="0.3">
      <c r="A456" s="2" t="s">
        <v>501</v>
      </c>
      <c r="B456" s="2" t="s">
        <v>48</v>
      </c>
      <c r="C456" s="2" t="s">
        <v>13</v>
      </c>
      <c r="D456" s="4">
        <v>4581.7299999999996</v>
      </c>
      <c r="E456" s="2">
        <v>4</v>
      </c>
      <c r="F456" s="4">
        <v>18326.919999999998</v>
      </c>
      <c r="G456" s="3">
        <v>45436</v>
      </c>
      <c r="H456" s="2" t="s">
        <v>49</v>
      </c>
      <c r="I456" s="2">
        <v>3.4</v>
      </c>
    </row>
    <row r="457" spans="1:9" x14ac:dyDescent="0.3">
      <c r="A457" s="2" t="s">
        <v>502</v>
      </c>
      <c r="B457" s="2" t="s">
        <v>38</v>
      </c>
      <c r="C457" s="2" t="s">
        <v>24</v>
      </c>
      <c r="D457" s="4">
        <v>9761.64</v>
      </c>
      <c r="E457" s="2">
        <v>3</v>
      </c>
      <c r="F457" s="4">
        <v>29284.92</v>
      </c>
      <c r="G457" s="3">
        <v>45531</v>
      </c>
      <c r="H457" s="2" t="s">
        <v>30</v>
      </c>
      <c r="I457" s="2">
        <v>2.5</v>
      </c>
    </row>
    <row r="458" spans="1:9" x14ac:dyDescent="0.3">
      <c r="A458" s="2" t="s">
        <v>503</v>
      </c>
      <c r="B458" s="2" t="s">
        <v>71</v>
      </c>
      <c r="C458" s="2" t="s">
        <v>21</v>
      </c>
      <c r="D458" s="4">
        <v>1582.84</v>
      </c>
      <c r="E458" s="2">
        <v>3</v>
      </c>
      <c r="F458" s="4">
        <v>4748.5200000000004</v>
      </c>
      <c r="G458" s="3">
        <v>45545</v>
      </c>
      <c r="H458" s="2" t="s">
        <v>14</v>
      </c>
      <c r="I458" s="2">
        <v>2.9</v>
      </c>
    </row>
    <row r="459" spans="1:9" x14ac:dyDescent="0.3">
      <c r="A459" s="2" t="s">
        <v>504</v>
      </c>
      <c r="B459" s="2" t="s">
        <v>73</v>
      </c>
      <c r="C459" s="2" t="s">
        <v>24</v>
      </c>
      <c r="D459" s="4">
        <v>8902.26</v>
      </c>
      <c r="E459" s="2">
        <v>5</v>
      </c>
      <c r="F459" s="4">
        <v>44511.3</v>
      </c>
      <c r="G459" s="3">
        <v>45665</v>
      </c>
      <c r="H459" s="2" t="s">
        <v>14</v>
      </c>
      <c r="I459" s="2">
        <v>2.4</v>
      </c>
    </row>
    <row r="460" spans="1:9" x14ac:dyDescent="0.3">
      <c r="A460" s="2" t="s">
        <v>505</v>
      </c>
      <c r="B460" s="2" t="s">
        <v>122</v>
      </c>
      <c r="C460" s="2" t="s">
        <v>27</v>
      </c>
      <c r="D460" s="4">
        <v>1549.63</v>
      </c>
      <c r="E460" s="2">
        <v>1</v>
      </c>
      <c r="F460" s="4">
        <v>1549.63</v>
      </c>
      <c r="G460" s="3">
        <v>45623</v>
      </c>
      <c r="H460" s="2" t="s">
        <v>44</v>
      </c>
      <c r="I460" s="2">
        <v>3</v>
      </c>
    </row>
    <row r="461" spans="1:9" x14ac:dyDescent="0.3">
      <c r="A461" s="2" t="s">
        <v>506</v>
      </c>
      <c r="B461" s="2" t="s">
        <v>12</v>
      </c>
      <c r="C461" s="2" t="s">
        <v>13</v>
      </c>
      <c r="D461" s="4">
        <v>23520.5</v>
      </c>
      <c r="E461" s="2">
        <v>5</v>
      </c>
      <c r="F461" s="4">
        <v>117602.5</v>
      </c>
      <c r="G461" s="3">
        <v>45408</v>
      </c>
      <c r="H461" s="2" t="s">
        <v>14</v>
      </c>
      <c r="I461" s="2">
        <v>1.2</v>
      </c>
    </row>
    <row r="462" spans="1:9" x14ac:dyDescent="0.3">
      <c r="A462" s="2" t="s">
        <v>507</v>
      </c>
      <c r="B462" s="2" t="s">
        <v>20</v>
      </c>
      <c r="C462" s="2" t="s">
        <v>21</v>
      </c>
      <c r="D462" s="4">
        <v>18729.61</v>
      </c>
      <c r="E462" s="2">
        <v>1</v>
      </c>
      <c r="F462" s="4">
        <v>18729.61</v>
      </c>
      <c r="G462" s="3">
        <v>45385</v>
      </c>
      <c r="H462" s="2" t="s">
        <v>44</v>
      </c>
      <c r="I462" s="2">
        <v>1</v>
      </c>
    </row>
    <row r="463" spans="1:9" x14ac:dyDescent="0.3">
      <c r="A463" s="2" t="s">
        <v>508</v>
      </c>
      <c r="B463" s="2" t="s">
        <v>102</v>
      </c>
      <c r="C463" s="2" t="s">
        <v>13</v>
      </c>
      <c r="D463" s="4">
        <v>18085.73</v>
      </c>
      <c r="E463" s="2">
        <v>3</v>
      </c>
      <c r="F463" s="4">
        <v>54257.19</v>
      </c>
      <c r="G463" s="3">
        <v>45485</v>
      </c>
      <c r="H463" s="2" t="s">
        <v>58</v>
      </c>
      <c r="I463" s="2">
        <v>4.0999999999999996</v>
      </c>
    </row>
    <row r="464" spans="1:9" x14ac:dyDescent="0.3">
      <c r="A464" s="2" t="s">
        <v>509</v>
      </c>
      <c r="B464" s="2" t="s">
        <v>42</v>
      </c>
      <c r="C464" s="2" t="s">
        <v>21</v>
      </c>
      <c r="D464" s="4">
        <v>29844.59</v>
      </c>
      <c r="E464" s="2">
        <v>3</v>
      </c>
      <c r="F464" s="4">
        <v>89533.77</v>
      </c>
      <c r="G464" s="3">
        <v>45471</v>
      </c>
      <c r="H464" s="2" t="s">
        <v>49</v>
      </c>
      <c r="I464" s="2">
        <v>3.9</v>
      </c>
    </row>
    <row r="465" spans="1:9" x14ac:dyDescent="0.3">
      <c r="A465" s="2" t="s">
        <v>510</v>
      </c>
      <c r="B465" s="2" t="s">
        <v>38</v>
      </c>
      <c r="C465" s="2" t="s">
        <v>24</v>
      </c>
      <c r="D465" s="4">
        <v>12964.52</v>
      </c>
      <c r="E465" s="2">
        <v>2</v>
      </c>
      <c r="F465" s="4">
        <v>25929.040000000001</v>
      </c>
      <c r="G465" s="3">
        <v>45619</v>
      </c>
      <c r="H465" s="2" t="s">
        <v>30</v>
      </c>
      <c r="I465" s="2">
        <v>2.7</v>
      </c>
    </row>
    <row r="466" spans="1:9" x14ac:dyDescent="0.3">
      <c r="A466" s="2" t="s">
        <v>511</v>
      </c>
      <c r="B466" s="2" t="s">
        <v>38</v>
      </c>
      <c r="C466" s="2" t="s">
        <v>24</v>
      </c>
      <c r="D466" s="4">
        <v>43431.64</v>
      </c>
      <c r="E466" s="2">
        <v>5</v>
      </c>
      <c r="F466" s="4">
        <v>217158.2</v>
      </c>
      <c r="G466" s="3">
        <v>45463</v>
      </c>
      <c r="H466" s="2" t="s">
        <v>49</v>
      </c>
      <c r="I466" s="2">
        <v>4.4000000000000004</v>
      </c>
    </row>
    <row r="467" spans="1:9" x14ac:dyDescent="0.3">
      <c r="A467" s="2" t="s">
        <v>512</v>
      </c>
      <c r="B467" s="2" t="s">
        <v>23</v>
      </c>
      <c r="C467" s="2" t="s">
        <v>24</v>
      </c>
      <c r="D467" s="4">
        <v>31005.06</v>
      </c>
      <c r="E467" s="2">
        <v>4</v>
      </c>
      <c r="F467" s="4">
        <v>124020.24</v>
      </c>
      <c r="G467" s="3">
        <v>45495</v>
      </c>
      <c r="H467" s="2" t="s">
        <v>58</v>
      </c>
      <c r="I467" s="2">
        <v>4</v>
      </c>
    </row>
    <row r="468" spans="1:9" x14ac:dyDescent="0.3">
      <c r="A468" s="2" t="s">
        <v>513</v>
      </c>
      <c r="B468" s="2" t="s">
        <v>20</v>
      </c>
      <c r="C468" s="2" t="s">
        <v>21</v>
      </c>
      <c r="D468" s="4">
        <v>16010.24</v>
      </c>
      <c r="E468" s="2">
        <v>3</v>
      </c>
      <c r="F468" s="4">
        <v>48030.720000000001</v>
      </c>
      <c r="G468" s="3">
        <v>45617</v>
      </c>
      <c r="H468" s="2" t="s">
        <v>58</v>
      </c>
      <c r="I468" s="2">
        <v>1.6</v>
      </c>
    </row>
    <row r="469" spans="1:9" x14ac:dyDescent="0.3">
      <c r="A469" s="2" t="s">
        <v>514</v>
      </c>
      <c r="B469" s="2" t="s">
        <v>84</v>
      </c>
      <c r="C469" s="2" t="s">
        <v>24</v>
      </c>
      <c r="D469" s="4">
        <v>18451.91</v>
      </c>
      <c r="E469" s="2">
        <v>5</v>
      </c>
      <c r="F469" s="4">
        <v>92259.55</v>
      </c>
      <c r="G469" s="3">
        <v>45547</v>
      </c>
      <c r="H469" s="2" t="s">
        <v>18</v>
      </c>
      <c r="I469" s="2">
        <v>4.9000000000000004</v>
      </c>
    </row>
    <row r="470" spans="1:9" x14ac:dyDescent="0.3">
      <c r="A470" s="2" t="s">
        <v>515</v>
      </c>
      <c r="B470" s="2" t="s">
        <v>23</v>
      </c>
      <c r="C470" s="2" t="s">
        <v>24</v>
      </c>
      <c r="D470" s="4">
        <v>31793.09</v>
      </c>
      <c r="E470" s="2">
        <v>4</v>
      </c>
      <c r="F470" s="4">
        <v>127172.36</v>
      </c>
      <c r="G470" s="3">
        <v>45341</v>
      </c>
      <c r="H470" s="2" t="s">
        <v>44</v>
      </c>
      <c r="I470" s="2">
        <v>4.8</v>
      </c>
    </row>
    <row r="471" spans="1:9" x14ac:dyDescent="0.3">
      <c r="A471" s="2" t="s">
        <v>516</v>
      </c>
      <c r="B471" s="2" t="s">
        <v>56</v>
      </c>
      <c r="C471" s="2" t="s">
        <v>17</v>
      </c>
      <c r="D471" s="4">
        <v>36666.620000000003</v>
      </c>
      <c r="E471" s="2">
        <v>4</v>
      </c>
      <c r="F471" s="4">
        <v>146666.48000000001</v>
      </c>
      <c r="G471" s="3">
        <v>45563</v>
      </c>
      <c r="H471" s="2" t="s">
        <v>58</v>
      </c>
      <c r="I471" s="2">
        <v>2.1</v>
      </c>
    </row>
    <row r="472" spans="1:9" x14ac:dyDescent="0.3">
      <c r="A472" s="2" t="s">
        <v>517</v>
      </c>
      <c r="B472" s="2" t="s">
        <v>46</v>
      </c>
      <c r="C472" s="2" t="s">
        <v>24</v>
      </c>
      <c r="D472" s="4">
        <v>38681.26</v>
      </c>
      <c r="E472" s="2">
        <v>1</v>
      </c>
      <c r="F472" s="4">
        <v>38681.26</v>
      </c>
      <c r="G472" s="3">
        <v>45490</v>
      </c>
      <c r="H472" s="2" t="s">
        <v>44</v>
      </c>
      <c r="I472" s="2">
        <v>2</v>
      </c>
    </row>
    <row r="473" spans="1:9" x14ac:dyDescent="0.3">
      <c r="A473" s="2" t="s">
        <v>518</v>
      </c>
      <c r="B473" s="2" t="s">
        <v>26</v>
      </c>
      <c r="C473" s="2" t="s">
        <v>27</v>
      </c>
      <c r="D473" s="4">
        <v>29493.06</v>
      </c>
      <c r="E473" s="2">
        <v>3</v>
      </c>
      <c r="F473" s="4">
        <v>88479.18</v>
      </c>
      <c r="G473" s="3">
        <v>45497</v>
      </c>
      <c r="H473" s="2" t="s">
        <v>49</v>
      </c>
      <c r="I473" s="2">
        <v>4.2</v>
      </c>
    </row>
    <row r="474" spans="1:9" x14ac:dyDescent="0.3">
      <c r="A474" s="2" t="s">
        <v>519</v>
      </c>
      <c r="B474" s="2" t="s">
        <v>62</v>
      </c>
      <c r="C474" s="2" t="s">
        <v>27</v>
      </c>
      <c r="D474" s="4">
        <v>30009.200000000001</v>
      </c>
      <c r="E474" s="2">
        <v>2</v>
      </c>
      <c r="F474" s="4">
        <v>60018.400000000001</v>
      </c>
      <c r="G474" s="3">
        <v>45456</v>
      </c>
      <c r="H474" s="2" t="s">
        <v>14</v>
      </c>
      <c r="I474" s="2">
        <v>3</v>
      </c>
    </row>
    <row r="475" spans="1:9" x14ac:dyDescent="0.3">
      <c r="A475" s="2" t="s">
        <v>520</v>
      </c>
      <c r="B475" s="2" t="s">
        <v>56</v>
      </c>
      <c r="C475" s="2" t="s">
        <v>17</v>
      </c>
      <c r="D475" s="4">
        <v>23089.32</v>
      </c>
      <c r="E475" s="2">
        <v>2</v>
      </c>
      <c r="F475" s="4">
        <v>46178.64</v>
      </c>
      <c r="G475" s="3">
        <v>45564</v>
      </c>
      <c r="H475" s="2" t="s">
        <v>58</v>
      </c>
      <c r="I475" s="2">
        <v>3.1</v>
      </c>
    </row>
    <row r="476" spans="1:9" x14ac:dyDescent="0.3">
      <c r="A476" s="2" t="s">
        <v>521</v>
      </c>
      <c r="B476" s="2" t="s">
        <v>122</v>
      </c>
      <c r="C476" s="2" t="s">
        <v>27</v>
      </c>
      <c r="D476" s="4">
        <v>32460.13</v>
      </c>
      <c r="E476" s="2">
        <v>4</v>
      </c>
      <c r="F476" s="4">
        <v>129840.52</v>
      </c>
      <c r="G476" s="3">
        <v>45410</v>
      </c>
      <c r="H476" s="2" t="s">
        <v>49</v>
      </c>
      <c r="I476" s="2">
        <v>3.7</v>
      </c>
    </row>
    <row r="477" spans="1:9" x14ac:dyDescent="0.3">
      <c r="A477" s="2" t="s">
        <v>522</v>
      </c>
      <c r="B477" s="2" t="s">
        <v>23</v>
      </c>
      <c r="C477" s="2" t="s">
        <v>24</v>
      </c>
      <c r="D477" s="4">
        <v>29509.14</v>
      </c>
      <c r="E477" s="2">
        <v>3</v>
      </c>
      <c r="F477" s="4">
        <v>88527.42</v>
      </c>
      <c r="G477" s="3">
        <v>45641</v>
      </c>
      <c r="H477" s="2" t="s">
        <v>58</v>
      </c>
      <c r="I477" s="2">
        <v>4.0999999999999996</v>
      </c>
    </row>
    <row r="478" spans="1:9" x14ac:dyDescent="0.3">
      <c r="A478" s="2" t="s">
        <v>523</v>
      </c>
      <c r="B478" s="2" t="s">
        <v>12</v>
      </c>
      <c r="C478" s="2" t="s">
        <v>13</v>
      </c>
      <c r="D478" s="4">
        <v>5528.69</v>
      </c>
      <c r="E478" s="2">
        <v>3</v>
      </c>
      <c r="F478" s="4">
        <v>16586.07</v>
      </c>
      <c r="G478" s="3">
        <v>45546</v>
      </c>
      <c r="H478" s="2" t="s">
        <v>14</v>
      </c>
      <c r="I478" s="2">
        <v>4.2</v>
      </c>
    </row>
    <row r="479" spans="1:9" x14ac:dyDescent="0.3">
      <c r="A479" s="2" t="s">
        <v>524</v>
      </c>
      <c r="B479" s="2" t="s">
        <v>95</v>
      </c>
      <c r="C479" s="2" t="s">
        <v>13</v>
      </c>
      <c r="D479" s="4">
        <v>11864.67</v>
      </c>
      <c r="E479" s="2">
        <v>5</v>
      </c>
      <c r="F479" s="4">
        <v>59323.35</v>
      </c>
      <c r="G479" s="3">
        <v>45548</v>
      </c>
      <c r="H479" s="2" t="s">
        <v>58</v>
      </c>
      <c r="I479" s="2">
        <v>2.8</v>
      </c>
    </row>
    <row r="480" spans="1:9" x14ac:dyDescent="0.3">
      <c r="A480" s="2" t="s">
        <v>525</v>
      </c>
      <c r="B480" s="2" t="s">
        <v>122</v>
      </c>
      <c r="C480" s="2" t="s">
        <v>27</v>
      </c>
      <c r="D480" s="4">
        <v>14273.74</v>
      </c>
      <c r="E480" s="2">
        <v>2</v>
      </c>
      <c r="F480" s="4">
        <v>28547.48</v>
      </c>
      <c r="G480" s="3">
        <v>45645</v>
      </c>
      <c r="H480" s="2" t="s">
        <v>58</v>
      </c>
      <c r="I480" s="2">
        <v>3.8</v>
      </c>
    </row>
    <row r="481" spans="1:9" x14ac:dyDescent="0.3">
      <c r="A481" s="2" t="s">
        <v>526</v>
      </c>
      <c r="B481" s="2" t="s">
        <v>12</v>
      </c>
      <c r="C481" s="2" t="s">
        <v>13</v>
      </c>
      <c r="D481" s="4">
        <v>26806.06</v>
      </c>
      <c r="E481" s="2">
        <v>3</v>
      </c>
      <c r="F481" s="4">
        <v>80418.179999999993</v>
      </c>
      <c r="G481" s="3">
        <v>45492</v>
      </c>
      <c r="H481" s="2" t="s">
        <v>30</v>
      </c>
      <c r="I481" s="2">
        <v>4.3</v>
      </c>
    </row>
    <row r="482" spans="1:9" x14ac:dyDescent="0.3">
      <c r="A482" s="2" t="s">
        <v>527</v>
      </c>
      <c r="B482" s="2" t="s">
        <v>36</v>
      </c>
      <c r="C482" s="2" t="s">
        <v>17</v>
      </c>
      <c r="D482" s="4">
        <v>18757.07</v>
      </c>
      <c r="E482" s="2">
        <v>4</v>
      </c>
      <c r="F482" s="4">
        <v>75028.28</v>
      </c>
      <c r="G482" s="3">
        <v>45612</v>
      </c>
      <c r="H482" s="2" t="s">
        <v>18</v>
      </c>
      <c r="I482" s="2">
        <v>4.2</v>
      </c>
    </row>
    <row r="483" spans="1:9" x14ac:dyDescent="0.3">
      <c r="A483" s="2" t="s">
        <v>528</v>
      </c>
      <c r="B483" s="2" t="s">
        <v>102</v>
      </c>
      <c r="C483" s="2" t="s">
        <v>13</v>
      </c>
      <c r="D483" s="4">
        <v>19661.09</v>
      </c>
      <c r="E483" s="2">
        <v>4</v>
      </c>
      <c r="F483" s="4">
        <v>78644.36</v>
      </c>
      <c r="G483" s="3">
        <v>45444</v>
      </c>
      <c r="H483" s="2" t="s">
        <v>58</v>
      </c>
      <c r="I483" s="2">
        <v>2.5</v>
      </c>
    </row>
    <row r="484" spans="1:9" x14ac:dyDescent="0.3">
      <c r="A484" s="2" t="s">
        <v>529</v>
      </c>
      <c r="B484" s="2" t="s">
        <v>102</v>
      </c>
      <c r="C484" s="2" t="s">
        <v>13</v>
      </c>
      <c r="D484" s="4">
        <v>27434.25</v>
      </c>
      <c r="E484" s="2">
        <v>1</v>
      </c>
      <c r="F484" s="4">
        <v>27434.25</v>
      </c>
      <c r="G484" s="3">
        <v>45353</v>
      </c>
      <c r="H484" s="2" t="s">
        <v>44</v>
      </c>
      <c r="I484" s="2">
        <v>3.8</v>
      </c>
    </row>
    <row r="485" spans="1:9" x14ac:dyDescent="0.3">
      <c r="A485" s="2" t="s">
        <v>530</v>
      </c>
      <c r="B485" s="2" t="s">
        <v>12</v>
      </c>
      <c r="C485" s="2" t="s">
        <v>13</v>
      </c>
      <c r="D485" s="4">
        <v>6322.42</v>
      </c>
      <c r="E485" s="2">
        <v>4</v>
      </c>
      <c r="F485" s="4">
        <v>25289.68</v>
      </c>
      <c r="G485" s="3">
        <v>45534</v>
      </c>
      <c r="H485" s="2" t="s">
        <v>18</v>
      </c>
      <c r="I485" s="2">
        <v>4</v>
      </c>
    </row>
    <row r="486" spans="1:9" x14ac:dyDescent="0.3">
      <c r="A486" s="2" t="s">
        <v>531</v>
      </c>
      <c r="B486" s="2" t="s">
        <v>48</v>
      </c>
      <c r="C486" s="2" t="s">
        <v>13</v>
      </c>
      <c r="D486" s="4">
        <v>4316.82</v>
      </c>
      <c r="E486" s="2">
        <v>2</v>
      </c>
      <c r="F486" s="4">
        <v>8633.64</v>
      </c>
      <c r="G486" s="3">
        <v>45414</v>
      </c>
      <c r="H486" s="2" t="s">
        <v>49</v>
      </c>
      <c r="I486" s="2">
        <v>3.6</v>
      </c>
    </row>
    <row r="487" spans="1:9" x14ac:dyDescent="0.3">
      <c r="A487" s="2" t="s">
        <v>532</v>
      </c>
      <c r="B487" s="2" t="s">
        <v>153</v>
      </c>
      <c r="C487" s="2" t="s">
        <v>17</v>
      </c>
      <c r="D487" s="4">
        <v>45426.39</v>
      </c>
      <c r="E487" s="2">
        <v>4</v>
      </c>
      <c r="F487" s="4">
        <v>181705.56</v>
      </c>
      <c r="G487" s="3">
        <v>45596</v>
      </c>
      <c r="H487" s="2" t="s">
        <v>58</v>
      </c>
      <c r="I487" s="2">
        <v>2.8</v>
      </c>
    </row>
    <row r="488" spans="1:9" x14ac:dyDescent="0.3">
      <c r="A488" s="2" t="s">
        <v>533</v>
      </c>
      <c r="B488" s="2" t="s">
        <v>73</v>
      </c>
      <c r="C488" s="2" t="s">
        <v>24</v>
      </c>
      <c r="D488" s="4">
        <v>14971.45</v>
      </c>
      <c r="E488" s="2">
        <v>3</v>
      </c>
      <c r="F488" s="4">
        <v>44914.35</v>
      </c>
      <c r="G488" s="3">
        <v>45445</v>
      </c>
      <c r="H488" s="2" t="s">
        <v>18</v>
      </c>
      <c r="I488" s="2">
        <v>4.5</v>
      </c>
    </row>
    <row r="489" spans="1:9" x14ac:dyDescent="0.3">
      <c r="A489" s="2" t="s">
        <v>534</v>
      </c>
      <c r="B489" s="2" t="s">
        <v>62</v>
      </c>
      <c r="C489" s="2" t="s">
        <v>27</v>
      </c>
      <c r="D489" s="4">
        <v>12245.12</v>
      </c>
      <c r="E489" s="2">
        <v>2</v>
      </c>
      <c r="F489" s="4">
        <v>24490.240000000002</v>
      </c>
      <c r="G489" s="3">
        <v>45531</v>
      </c>
      <c r="H489" s="2" t="s">
        <v>44</v>
      </c>
      <c r="I489" s="2">
        <v>4.5</v>
      </c>
    </row>
    <row r="490" spans="1:9" x14ac:dyDescent="0.3">
      <c r="A490" s="2" t="s">
        <v>535</v>
      </c>
      <c r="B490" s="2" t="s">
        <v>52</v>
      </c>
      <c r="C490" s="2" t="s">
        <v>13</v>
      </c>
      <c r="D490" s="4">
        <v>48405.89</v>
      </c>
      <c r="E490" s="2">
        <v>4</v>
      </c>
      <c r="F490" s="4">
        <v>193623.56</v>
      </c>
      <c r="G490" s="3">
        <v>45382</v>
      </c>
      <c r="H490" s="2" t="s">
        <v>30</v>
      </c>
      <c r="I490" s="2">
        <v>4.9000000000000004</v>
      </c>
    </row>
    <row r="491" spans="1:9" x14ac:dyDescent="0.3">
      <c r="A491" s="2" t="s">
        <v>536</v>
      </c>
      <c r="B491" s="2" t="s">
        <v>71</v>
      </c>
      <c r="C491" s="2" t="s">
        <v>21</v>
      </c>
      <c r="D491" s="4">
        <v>12757.67</v>
      </c>
      <c r="E491" s="2">
        <v>5</v>
      </c>
      <c r="F491" s="4">
        <v>63788.35</v>
      </c>
      <c r="G491" s="3">
        <v>45615</v>
      </c>
      <c r="H491" s="2" t="s">
        <v>18</v>
      </c>
      <c r="I491" s="2">
        <v>3.3</v>
      </c>
    </row>
    <row r="492" spans="1:9" x14ac:dyDescent="0.3">
      <c r="A492" s="2" t="s">
        <v>537</v>
      </c>
      <c r="B492" s="2" t="s">
        <v>153</v>
      </c>
      <c r="C492" s="2" t="s">
        <v>17</v>
      </c>
      <c r="D492" s="4">
        <v>33071.089999999997</v>
      </c>
      <c r="E492" s="2">
        <v>2</v>
      </c>
      <c r="F492" s="4">
        <v>66142.179999999993</v>
      </c>
      <c r="G492" s="3">
        <v>45570</v>
      </c>
      <c r="H492" s="2" t="s">
        <v>44</v>
      </c>
      <c r="I492" s="2">
        <v>3.5</v>
      </c>
    </row>
    <row r="493" spans="1:9" x14ac:dyDescent="0.3">
      <c r="A493" s="2" t="s">
        <v>538</v>
      </c>
      <c r="B493" s="2" t="s">
        <v>71</v>
      </c>
      <c r="C493" s="2" t="s">
        <v>21</v>
      </c>
      <c r="D493" s="4">
        <v>4869.5600000000004</v>
      </c>
      <c r="E493" s="2">
        <v>1</v>
      </c>
      <c r="F493" s="4">
        <v>4869.5600000000004</v>
      </c>
      <c r="G493" s="3">
        <v>45386</v>
      </c>
      <c r="H493" s="2" t="s">
        <v>18</v>
      </c>
      <c r="I493" s="2">
        <v>1.9</v>
      </c>
    </row>
    <row r="494" spans="1:9" x14ac:dyDescent="0.3">
      <c r="A494" s="2" t="s">
        <v>539</v>
      </c>
      <c r="B494" s="2" t="s">
        <v>56</v>
      </c>
      <c r="C494" s="2" t="s">
        <v>17</v>
      </c>
      <c r="D494" s="4">
        <v>45127.31</v>
      </c>
      <c r="E494" s="2">
        <v>4</v>
      </c>
      <c r="F494" s="4">
        <v>180509.24</v>
      </c>
      <c r="G494" s="3">
        <v>45672</v>
      </c>
      <c r="H494" s="2" t="s">
        <v>44</v>
      </c>
      <c r="I494" s="2">
        <v>4.2</v>
      </c>
    </row>
    <row r="495" spans="1:9" x14ac:dyDescent="0.3">
      <c r="A495" s="2" t="s">
        <v>540</v>
      </c>
      <c r="B495" s="2" t="s">
        <v>62</v>
      </c>
      <c r="C495" s="2" t="s">
        <v>27</v>
      </c>
      <c r="D495" s="4">
        <v>8867.7199999999993</v>
      </c>
      <c r="E495" s="2">
        <v>1</v>
      </c>
      <c r="F495" s="4">
        <v>8867.7199999999993</v>
      </c>
      <c r="G495" s="3">
        <v>45566</v>
      </c>
      <c r="H495" s="2" t="s">
        <v>58</v>
      </c>
      <c r="I495" s="2">
        <v>4.3</v>
      </c>
    </row>
    <row r="496" spans="1:9" x14ac:dyDescent="0.3">
      <c r="A496" s="2" t="s">
        <v>541</v>
      </c>
      <c r="B496" s="2" t="s">
        <v>26</v>
      </c>
      <c r="C496" s="2" t="s">
        <v>27</v>
      </c>
      <c r="D496" s="4">
        <v>31749.94</v>
      </c>
      <c r="E496" s="2">
        <v>1</v>
      </c>
      <c r="F496" s="4">
        <v>31749.94</v>
      </c>
      <c r="G496" s="3">
        <v>45437</v>
      </c>
      <c r="H496" s="2" t="s">
        <v>44</v>
      </c>
      <c r="I496" s="2">
        <v>3.1</v>
      </c>
    </row>
    <row r="497" spans="1:9" x14ac:dyDescent="0.3">
      <c r="A497" s="2" t="s">
        <v>542</v>
      </c>
      <c r="B497" s="2" t="s">
        <v>77</v>
      </c>
      <c r="C497" s="2" t="s">
        <v>21</v>
      </c>
      <c r="D497" s="4">
        <v>40944.769999999997</v>
      </c>
      <c r="E497" s="2">
        <v>2</v>
      </c>
      <c r="F497" s="4">
        <v>81889.539999999994</v>
      </c>
      <c r="G497" s="3">
        <v>45599</v>
      </c>
      <c r="H497" s="2" t="s">
        <v>49</v>
      </c>
      <c r="I497" s="2">
        <v>2.9</v>
      </c>
    </row>
    <row r="498" spans="1:9" x14ac:dyDescent="0.3">
      <c r="A498" s="2" t="s">
        <v>543</v>
      </c>
      <c r="B498" s="2" t="s">
        <v>34</v>
      </c>
      <c r="C498" s="2" t="s">
        <v>27</v>
      </c>
      <c r="D498" s="4">
        <v>20859.61</v>
      </c>
      <c r="E498" s="2">
        <v>4</v>
      </c>
      <c r="F498" s="4">
        <v>83438.44</v>
      </c>
      <c r="G498" s="3">
        <v>45406</v>
      </c>
      <c r="H498" s="2" t="s">
        <v>30</v>
      </c>
      <c r="I498" s="2">
        <v>4.9000000000000004</v>
      </c>
    </row>
    <row r="499" spans="1:9" x14ac:dyDescent="0.3">
      <c r="A499" s="2" t="s">
        <v>544</v>
      </c>
      <c r="B499" s="2" t="s">
        <v>12</v>
      </c>
      <c r="C499" s="2" t="s">
        <v>13</v>
      </c>
      <c r="D499" s="4">
        <v>6884.74</v>
      </c>
      <c r="E499" s="2">
        <v>5</v>
      </c>
      <c r="F499" s="4">
        <v>34423.699999999997</v>
      </c>
      <c r="G499" s="3">
        <v>45516</v>
      </c>
      <c r="H499" s="2" t="s">
        <v>58</v>
      </c>
      <c r="I499" s="2">
        <v>1.4</v>
      </c>
    </row>
    <row r="500" spans="1:9" x14ac:dyDescent="0.3">
      <c r="A500" s="2" t="s">
        <v>545</v>
      </c>
      <c r="B500" s="2" t="s">
        <v>16</v>
      </c>
      <c r="C500" s="2" t="s">
        <v>17</v>
      </c>
      <c r="D500" s="4">
        <v>40238.5</v>
      </c>
      <c r="E500" s="2">
        <v>3</v>
      </c>
      <c r="F500" s="4">
        <v>120715.5</v>
      </c>
      <c r="G500" s="3">
        <v>45494</v>
      </c>
      <c r="H500" s="2" t="s">
        <v>30</v>
      </c>
      <c r="I500" s="2">
        <v>3.9</v>
      </c>
    </row>
    <row r="501" spans="1:9" x14ac:dyDescent="0.3">
      <c r="A501" s="2" t="s">
        <v>546</v>
      </c>
      <c r="B501" s="2" t="s">
        <v>46</v>
      </c>
      <c r="C501" s="2" t="s">
        <v>24</v>
      </c>
      <c r="D501" s="4">
        <v>10422.280000000001</v>
      </c>
      <c r="E501" s="2">
        <v>5</v>
      </c>
      <c r="F501" s="4">
        <v>52111.4</v>
      </c>
      <c r="G501" s="3">
        <v>45469</v>
      </c>
      <c r="H501" s="2" t="s">
        <v>58</v>
      </c>
      <c r="I501" s="2">
        <v>3.5</v>
      </c>
    </row>
    <row r="502" spans="1:9" x14ac:dyDescent="0.3">
      <c r="A502" s="2" t="s">
        <v>547</v>
      </c>
      <c r="B502" s="2" t="s">
        <v>102</v>
      </c>
      <c r="C502" s="2" t="s">
        <v>13</v>
      </c>
      <c r="D502" s="4">
        <v>13862.56</v>
      </c>
      <c r="E502" s="2">
        <v>1</v>
      </c>
      <c r="F502" s="4">
        <v>13862.56</v>
      </c>
      <c r="G502" s="3">
        <v>45657</v>
      </c>
      <c r="H502" s="2" t="s">
        <v>30</v>
      </c>
      <c r="I502" s="2">
        <v>1.6</v>
      </c>
    </row>
    <row r="503" spans="1:9" x14ac:dyDescent="0.3">
      <c r="A503" s="2" t="s">
        <v>548</v>
      </c>
      <c r="B503" s="2" t="s">
        <v>20</v>
      </c>
      <c r="C503" s="2" t="s">
        <v>21</v>
      </c>
      <c r="D503" s="4">
        <v>35911.22</v>
      </c>
      <c r="E503" s="2">
        <v>4</v>
      </c>
      <c r="F503" s="4">
        <v>143644.88</v>
      </c>
      <c r="G503" s="3">
        <v>45547</v>
      </c>
      <c r="H503" s="2" t="s">
        <v>49</v>
      </c>
      <c r="I503" s="2">
        <v>4.0999999999999996</v>
      </c>
    </row>
    <row r="504" spans="1:9" x14ac:dyDescent="0.3">
      <c r="A504" s="2" t="s">
        <v>549</v>
      </c>
      <c r="B504" s="2" t="s">
        <v>36</v>
      </c>
      <c r="C504" s="2" t="s">
        <v>17</v>
      </c>
      <c r="D504" s="4">
        <v>16523.689999999999</v>
      </c>
      <c r="E504" s="2">
        <v>3</v>
      </c>
      <c r="F504" s="4">
        <v>49571.07</v>
      </c>
      <c r="G504" s="3">
        <v>45521</v>
      </c>
      <c r="H504" s="2" t="s">
        <v>49</v>
      </c>
      <c r="I504" s="2">
        <v>2.8</v>
      </c>
    </row>
    <row r="505" spans="1:9" x14ac:dyDescent="0.3">
      <c r="A505" s="2" t="s">
        <v>550</v>
      </c>
      <c r="B505" s="2" t="s">
        <v>42</v>
      </c>
      <c r="C505" s="2" t="s">
        <v>21</v>
      </c>
      <c r="D505" s="4">
        <v>6566.03</v>
      </c>
      <c r="E505" s="2">
        <v>5</v>
      </c>
      <c r="F505" s="4">
        <v>32830.15</v>
      </c>
      <c r="G505" s="3">
        <v>45402</v>
      </c>
      <c r="H505" s="2" t="s">
        <v>44</v>
      </c>
      <c r="I505" s="2">
        <v>2.6</v>
      </c>
    </row>
    <row r="506" spans="1:9" x14ac:dyDescent="0.3">
      <c r="A506" s="2" t="s">
        <v>551</v>
      </c>
      <c r="B506" s="2" t="s">
        <v>62</v>
      </c>
      <c r="C506" s="2" t="s">
        <v>27</v>
      </c>
      <c r="D506" s="4">
        <v>18799.05</v>
      </c>
      <c r="E506" s="2">
        <v>3</v>
      </c>
      <c r="F506" s="4">
        <v>56397.15</v>
      </c>
      <c r="G506" s="3">
        <v>45689</v>
      </c>
      <c r="H506" s="2" t="s">
        <v>18</v>
      </c>
      <c r="I506" s="2">
        <v>4.3</v>
      </c>
    </row>
    <row r="507" spans="1:9" x14ac:dyDescent="0.3">
      <c r="A507" s="2" t="s">
        <v>552</v>
      </c>
      <c r="B507" s="2" t="s">
        <v>84</v>
      </c>
      <c r="C507" s="2" t="s">
        <v>24</v>
      </c>
      <c r="D507" s="4">
        <v>8436.7099999999991</v>
      </c>
      <c r="E507" s="2">
        <v>5</v>
      </c>
      <c r="F507" s="4">
        <v>42183.55</v>
      </c>
      <c r="G507" s="3">
        <v>45395</v>
      </c>
      <c r="H507" s="2" t="s">
        <v>30</v>
      </c>
      <c r="I507" s="2">
        <v>4.9000000000000004</v>
      </c>
    </row>
    <row r="508" spans="1:9" x14ac:dyDescent="0.3">
      <c r="A508" s="2" t="s">
        <v>553</v>
      </c>
      <c r="B508" s="2" t="s">
        <v>26</v>
      </c>
      <c r="C508" s="2" t="s">
        <v>27</v>
      </c>
      <c r="D508" s="4">
        <v>19380.5</v>
      </c>
      <c r="E508" s="2">
        <v>4</v>
      </c>
      <c r="F508" s="4">
        <v>77522</v>
      </c>
      <c r="G508" s="3">
        <v>45466</v>
      </c>
      <c r="H508" s="2" t="s">
        <v>18</v>
      </c>
      <c r="I508" s="2">
        <v>3.3</v>
      </c>
    </row>
    <row r="509" spans="1:9" x14ac:dyDescent="0.3">
      <c r="A509" s="2" t="s">
        <v>554</v>
      </c>
      <c r="B509" s="2" t="s">
        <v>42</v>
      </c>
      <c r="C509" s="2" t="s">
        <v>21</v>
      </c>
      <c r="D509" s="4">
        <v>20228.05</v>
      </c>
      <c r="E509" s="2">
        <v>3</v>
      </c>
      <c r="F509" s="4">
        <v>60684.15</v>
      </c>
      <c r="G509" s="3">
        <v>45689</v>
      </c>
      <c r="H509" s="2" t="s">
        <v>18</v>
      </c>
      <c r="I509" s="2">
        <v>1.2</v>
      </c>
    </row>
    <row r="510" spans="1:9" x14ac:dyDescent="0.3">
      <c r="A510" s="2" t="s">
        <v>555</v>
      </c>
      <c r="B510" s="2" t="s">
        <v>73</v>
      </c>
      <c r="C510" s="2" t="s">
        <v>24</v>
      </c>
      <c r="D510" s="4">
        <v>28606.86</v>
      </c>
      <c r="E510" s="2">
        <v>5</v>
      </c>
      <c r="F510" s="4">
        <v>143034.29999999999</v>
      </c>
      <c r="G510" s="3">
        <v>45520</v>
      </c>
      <c r="H510" s="2" t="s">
        <v>18</v>
      </c>
      <c r="I510" s="2">
        <v>4.8</v>
      </c>
    </row>
    <row r="511" spans="1:9" x14ac:dyDescent="0.3">
      <c r="A511" s="2" t="s">
        <v>556</v>
      </c>
      <c r="B511" s="2" t="s">
        <v>95</v>
      </c>
      <c r="C511" s="2" t="s">
        <v>13</v>
      </c>
      <c r="D511" s="4">
        <v>16803.759999999998</v>
      </c>
      <c r="E511" s="2">
        <v>4</v>
      </c>
      <c r="F511" s="4">
        <v>67215.039999999994</v>
      </c>
      <c r="G511" s="3">
        <v>45438</v>
      </c>
      <c r="H511" s="2" t="s">
        <v>30</v>
      </c>
      <c r="I511" s="2">
        <v>4</v>
      </c>
    </row>
    <row r="512" spans="1:9" x14ac:dyDescent="0.3">
      <c r="A512" s="2" t="s">
        <v>557</v>
      </c>
      <c r="B512" s="2" t="s">
        <v>20</v>
      </c>
      <c r="C512" s="2" t="s">
        <v>21</v>
      </c>
      <c r="D512" s="4">
        <v>18093.34</v>
      </c>
      <c r="E512" s="2">
        <v>5</v>
      </c>
      <c r="F512" s="4">
        <v>90466.7</v>
      </c>
      <c r="G512" s="3">
        <v>45678</v>
      </c>
      <c r="H512" s="2" t="s">
        <v>49</v>
      </c>
      <c r="I512" s="2">
        <v>4.2</v>
      </c>
    </row>
    <row r="513" spans="1:9" x14ac:dyDescent="0.3">
      <c r="A513" s="2" t="s">
        <v>558</v>
      </c>
      <c r="B513" s="2" t="s">
        <v>38</v>
      </c>
      <c r="C513" s="2" t="s">
        <v>24</v>
      </c>
      <c r="D513" s="4">
        <v>31737.13</v>
      </c>
      <c r="E513" s="2">
        <v>5</v>
      </c>
      <c r="F513" s="4">
        <v>158685.65</v>
      </c>
      <c r="G513" s="3">
        <v>45394</v>
      </c>
      <c r="H513" s="2" t="s">
        <v>58</v>
      </c>
      <c r="I513" s="2">
        <v>4</v>
      </c>
    </row>
    <row r="514" spans="1:9" x14ac:dyDescent="0.3">
      <c r="A514" s="2" t="s">
        <v>559</v>
      </c>
      <c r="B514" s="2" t="s">
        <v>42</v>
      </c>
      <c r="C514" s="2" t="s">
        <v>21</v>
      </c>
      <c r="D514" s="4">
        <v>49861.17</v>
      </c>
      <c r="E514" s="2">
        <v>3</v>
      </c>
      <c r="F514" s="4">
        <v>149583.51</v>
      </c>
      <c r="G514" s="3">
        <v>45559</v>
      </c>
      <c r="H514" s="2" t="s">
        <v>18</v>
      </c>
      <c r="I514" s="2">
        <v>2.5</v>
      </c>
    </row>
    <row r="515" spans="1:9" x14ac:dyDescent="0.3">
      <c r="A515" s="2" t="s">
        <v>560</v>
      </c>
      <c r="B515" s="2" t="s">
        <v>12</v>
      </c>
      <c r="C515" s="2" t="s">
        <v>13</v>
      </c>
      <c r="D515" s="4">
        <v>21233.35</v>
      </c>
      <c r="E515" s="2">
        <v>1</v>
      </c>
      <c r="F515" s="4">
        <v>21233.35</v>
      </c>
      <c r="G515" s="3">
        <v>45537</v>
      </c>
      <c r="H515" s="2" t="s">
        <v>44</v>
      </c>
      <c r="I515" s="2">
        <v>1.7</v>
      </c>
    </row>
    <row r="516" spans="1:9" x14ac:dyDescent="0.3">
      <c r="A516" s="2" t="s">
        <v>561</v>
      </c>
      <c r="B516" s="2" t="s">
        <v>122</v>
      </c>
      <c r="C516" s="2" t="s">
        <v>27</v>
      </c>
      <c r="D516" s="4">
        <v>776.91</v>
      </c>
      <c r="E516" s="2">
        <v>5</v>
      </c>
      <c r="F516" s="4">
        <v>3884.55</v>
      </c>
      <c r="G516" s="3">
        <v>45489</v>
      </c>
      <c r="H516" s="2" t="s">
        <v>44</v>
      </c>
      <c r="I516" s="2">
        <v>4.2</v>
      </c>
    </row>
    <row r="517" spans="1:9" x14ac:dyDescent="0.3">
      <c r="A517" s="2" t="s">
        <v>562</v>
      </c>
      <c r="B517" s="2" t="s">
        <v>42</v>
      </c>
      <c r="C517" s="2" t="s">
        <v>21</v>
      </c>
      <c r="D517" s="4">
        <v>25542.71</v>
      </c>
      <c r="E517" s="2">
        <v>1</v>
      </c>
      <c r="F517" s="4">
        <v>25542.71</v>
      </c>
      <c r="G517" s="3">
        <v>45640</v>
      </c>
      <c r="H517" s="2" t="s">
        <v>18</v>
      </c>
      <c r="I517" s="2">
        <v>2.2000000000000002</v>
      </c>
    </row>
    <row r="518" spans="1:9" x14ac:dyDescent="0.3">
      <c r="A518" s="2" t="s">
        <v>563</v>
      </c>
      <c r="B518" s="2" t="s">
        <v>32</v>
      </c>
      <c r="C518" s="2" t="s">
        <v>17</v>
      </c>
      <c r="D518" s="4">
        <v>10818.28</v>
      </c>
      <c r="E518" s="2">
        <v>5</v>
      </c>
      <c r="F518" s="4">
        <v>54091.4</v>
      </c>
      <c r="G518" s="3">
        <v>45495</v>
      </c>
      <c r="H518" s="2" t="s">
        <v>18</v>
      </c>
      <c r="I518" s="2">
        <v>1.6</v>
      </c>
    </row>
    <row r="519" spans="1:9" x14ac:dyDescent="0.3">
      <c r="A519" s="2" t="s">
        <v>564</v>
      </c>
      <c r="B519" s="2" t="s">
        <v>38</v>
      </c>
      <c r="C519" s="2" t="s">
        <v>24</v>
      </c>
      <c r="D519" s="4">
        <v>45801.19</v>
      </c>
      <c r="E519" s="2">
        <v>5</v>
      </c>
      <c r="F519" s="4">
        <v>229005.95</v>
      </c>
      <c r="G519" s="3">
        <v>45589</v>
      </c>
      <c r="H519" s="2" t="s">
        <v>49</v>
      </c>
      <c r="I519" s="2">
        <v>2.4</v>
      </c>
    </row>
    <row r="520" spans="1:9" x14ac:dyDescent="0.3">
      <c r="A520" s="2" t="s">
        <v>565</v>
      </c>
      <c r="B520" s="2" t="s">
        <v>20</v>
      </c>
      <c r="C520" s="2" t="s">
        <v>21</v>
      </c>
      <c r="D520" s="4">
        <v>6963.56</v>
      </c>
      <c r="E520" s="2">
        <v>2</v>
      </c>
      <c r="F520" s="4">
        <v>13927.12</v>
      </c>
      <c r="G520" s="3">
        <v>45632</v>
      </c>
      <c r="H520" s="2" t="s">
        <v>14</v>
      </c>
      <c r="I520" s="2">
        <v>3.3</v>
      </c>
    </row>
    <row r="521" spans="1:9" x14ac:dyDescent="0.3">
      <c r="A521" s="2" t="s">
        <v>566</v>
      </c>
      <c r="B521" s="2" t="s">
        <v>46</v>
      </c>
      <c r="C521" s="2" t="s">
        <v>24</v>
      </c>
      <c r="D521" s="4">
        <v>37082.11</v>
      </c>
      <c r="E521" s="2">
        <v>1</v>
      </c>
      <c r="F521" s="4">
        <v>37082.11</v>
      </c>
      <c r="G521" s="3">
        <v>45455</v>
      </c>
      <c r="H521" s="2" t="s">
        <v>18</v>
      </c>
      <c r="I521" s="2">
        <v>4.4000000000000004</v>
      </c>
    </row>
    <row r="522" spans="1:9" x14ac:dyDescent="0.3">
      <c r="A522" s="2" t="s">
        <v>567</v>
      </c>
      <c r="B522" s="2" t="s">
        <v>52</v>
      </c>
      <c r="C522" s="2" t="s">
        <v>13</v>
      </c>
      <c r="D522" s="4">
        <v>6842.69</v>
      </c>
      <c r="E522" s="2">
        <v>1</v>
      </c>
      <c r="F522" s="4">
        <v>6842.69</v>
      </c>
      <c r="G522" s="3">
        <v>45447</v>
      </c>
      <c r="H522" s="2" t="s">
        <v>18</v>
      </c>
      <c r="I522" s="2">
        <v>3.6</v>
      </c>
    </row>
    <row r="523" spans="1:9" x14ac:dyDescent="0.3">
      <c r="A523" s="2" t="s">
        <v>568</v>
      </c>
      <c r="B523" s="2" t="s">
        <v>40</v>
      </c>
      <c r="C523" s="2" t="s">
        <v>21</v>
      </c>
      <c r="D523" s="4">
        <v>7283.96</v>
      </c>
      <c r="E523" s="2">
        <v>1</v>
      </c>
      <c r="F523" s="4">
        <v>7283.96</v>
      </c>
      <c r="G523" s="3">
        <v>45390</v>
      </c>
      <c r="H523" s="2" t="s">
        <v>44</v>
      </c>
      <c r="I523" s="2">
        <v>2</v>
      </c>
    </row>
    <row r="524" spans="1:9" x14ac:dyDescent="0.3">
      <c r="A524" s="2" t="s">
        <v>569</v>
      </c>
      <c r="B524" s="2" t="s">
        <v>26</v>
      </c>
      <c r="C524" s="2" t="s">
        <v>27</v>
      </c>
      <c r="D524" s="4">
        <v>218.58</v>
      </c>
      <c r="E524" s="2">
        <v>5</v>
      </c>
      <c r="F524" s="4">
        <v>1092.9000000000001</v>
      </c>
      <c r="G524" s="3">
        <v>45402</v>
      </c>
      <c r="H524" s="2" t="s">
        <v>30</v>
      </c>
      <c r="I524" s="2">
        <v>4.8</v>
      </c>
    </row>
    <row r="525" spans="1:9" x14ac:dyDescent="0.3">
      <c r="A525" s="2" t="s">
        <v>570</v>
      </c>
      <c r="B525" s="2" t="s">
        <v>73</v>
      </c>
      <c r="C525" s="2" t="s">
        <v>24</v>
      </c>
      <c r="D525" s="4">
        <v>38689.699999999997</v>
      </c>
      <c r="E525" s="2">
        <v>3</v>
      </c>
      <c r="F525" s="4">
        <v>116069.1</v>
      </c>
      <c r="G525" s="3">
        <v>45563</v>
      </c>
      <c r="H525" s="2" t="s">
        <v>14</v>
      </c>
      <c r="I525" s="2">
        <v>1.9</v>
      </c>
    </row>
    <row r="526" spans="1:9" x14ac:dyDescent="0.3">
      <c r="A526" s="2" t="s">
        <v>571</v>
      </c>
      <c r="B526" s="2" t="s">
        <v>34</v>
      </c>
      <c r="C526" s="2" t="s">
        <v>27</v>
      </c>
      <c r="D526" s="4">
        <v>8863.9699999999993</v>
      </c>
      <c r="E526" s="2">
        <v>2</v>
      </c>
      <c r="F526" s="4">
        <v>17727.939999999999</v>
      </c>
      <c r="G526" s="3">
        <v>45561</v>
      </c>
      <c r="H526" s="2" t="s">
        <v>18</v>
      </c>
      <c r="I526" s="2">
        <v>4.5</v>
      </c>
    </row>
    <row r="527" spans="1:9" x14ac:dyDescent="0.3">
      <c r="A527" s="2" t="s">
        <v>572</v>
      </c>
      <c r="B527" s="2" t="s">
        <v>32</v>
      </c>
      <c r="C527" s="2" t="s">
        <v>17</v>
      </c>
      <c r="D527" s="4">
        <v>12472.17</v>
      </c>
      <c r="E527" s="2">
        <v>5</v>
      </c>
      <c r="F527" s="4">
        <v>62360.85</v>
      </c>
      <c r="G527" s="3">
        <v>45405</v>
      </c>
      <c r="H527" s="2" t="s">
        <v>18</v>
      </c>
      <c r="I527" s="2">
        <v>1.9</v>
      </c>
    </row>
    <row r="528" spans="1:9" x14ac:dyDescent="0.3">
      <c r="A528" s="2" t="s">
        <v>573</v>
      </c>
      <c r="B528" s="2" t="s">
        <v>16</v>
      </c>
      <c r="C528" s="2" t="s">
        <v>17</v>
      </c>
      <c r="D528" s="4">
        <v>8734.44</v>
      </c>
      <c r="E528" s="2">
        <v>1</v>
      </c>
      <c r="F528" s="4">
        <v>8734.44</v>
      </c>
      <c r="G528" s="3">
        <v>45591</v>
      </c>
      <c r="H528" s="2" t="s">
        <v>14</v>
      </c>
      <c r="I528" s="2">
        <v>2.5</v>
      </c>
    </row>
    <row r="529" spans="1:9" x14ac:dyDescent="0.3">
      <c r="A529" s="2" t="s">
        <v>574</v>
      </c>
      <c r="B529" s="2" t="s">
        <v>40</v>
      </c>
      <c r="C529" s="2" t="s">
        <v>21</v>
      </c>
      <c r="D529" s="4">
        <v>32422.04</v>
      </c>
      <c r="E529" s="2">
        <v>5</v>
      </c>
      <c r="F529" s="4">
        <v>162110.20000000001</v>
      </c>
      <c r="G529" s="3">
        <v>45340</v>
      </c>
      <c r="H529" s="2" t="s">
        <v>58</v>
      </c>
      <c r="I529" s="2">
        <v>1.9</v>
      </c>
    </row>
    <row r="530" spans="1:9" x14ac:dyDescent="0.3">
      <c r="A530" s="2" t="s">
        <v>575</v>
      </c>
      <c r="B530" s="2" t="s">
        <v>73</v>
      </c>
      <c r="C530" s="2" t="s">
        <v>24</v>
      </c>
      <c r="D530" s="4">
        <v>45532.34</v>
      </c>
      <c r="E530" s="2">
        <v>5</v>
      </c>
      <c r="F530" s="4">
        <v>227661.7</v>
      </c>
      <c r="G530" s="3">
        <v>45410</v>
      </c>
      <c r="H530" s="2" t="s">
        <v>49</v>
      </c>
      <c r="I530" s="2">
        <v>3.6</v>
      </c>
    </row>
    <row r="531" spans="1:9" x14ac:dyDescent="0.3">
      <c r="A531" s="2" t="s">
        <v>576</v>
      </c>
      <c r="B531" s="2" t="s">
        <v>20</v>
      </c>
      <c r="C531" s="2" t="s">
        <v>21</v>
      </c>
      <c r="D531" s="4">
        <v>22534.799999999999</v>
      </c>
      <c r="E531" s="2">
        <v>4</v>
      </c>
      <c r="F531" s="4">
        <v>90139.199999999997</v>
      </c>
      <c r="G531" s="3">
        <v>45534</v>
      </c>
      <c r="H531" s="2" t="s">
        <v>44</v>
      </c>
      <c r="I531" s="2">
        <v>1.4</v>
      </c>
    </row>
    <row r="532" spans="1:9" x14ac:dyDescent="0.3">
      <c r="A532" s="2" t="s">
        <v>577</v>
      </c>
      <c r="B532" s="2" t="s">
        <v>102</v>
      </c>
      <c r="C532" s="2" t="s">
        <v>13</v>
      </c>
      <c r="D532" s="4">
        <v>26058.55</v>
      </c>
      <c r="E532" s="2">
        <v>1</v>
      </c>
      <c r="F532" s="4">
        <v>26058.55</v>
      </c>
      <c r="G532" s="3">
        <v>45593</v>
      </c>
      <c r="H532" s="2" t="s">
        <v>18</v>
      </c>
      <c r="I532" s="2">
        <v>2</v>
      </c>
    </row>
    <row r="533" spans="1:9" x14ac:dyDescent="0.3">
      <c r="A533" s="2" t="s">
        <v>578</v>
      </c>
      <c r="B533" s="2" t="s">
        <v>62</v>
      </c>
      <c r="C533" s="2" t="s">
        <v>27</v>
      </c>
      <c r="D533" s="4">
        <v>13348.84</v>
      </c>
      <c r="E533" s="2">
        <v>2</v>
      </c>
      <c r="F533" s="4">
        <v>26697.68</v>
      </c>
      <c r="G533" s="3">
        <v>45500</v>
      </c>
      <c r="H533" s="2" t="s">
        <v>44</v>
      </c>
      <c r="I533" s="2">
        <v>4.2</v>
      </c>
    </row>
    <row r="534" spans="1:9" x14ac:dyDescent="0.3">
      <c r="A534" s="2" t="s">
        <v>579</v>
      </c>
      <c r="B534" s="2" t="s">
        <v>34</v>
      </c>
      <c r="C534" s="2" t="s">
        <v>27</v>
      </c>
      <c r="D534" s="4">
        <v>46792.3</v>
      </c>
      <c r="E534" s="2">
        <v>1</v>
      </c>
      <c r="F534" s="4">
        <v>46792.3</v>
      </c>
      <c r="G534" s="3">
        <v>45459</v>
      </c>
      <c r="H534" s="2" t="s">
        <v>49</v>
      </c>
      <c r="I534" s="2">
        <v>4.9000000000000004</v>
      </c>
    </row>
    <row r="535" spans="1:9" x14ac:dyDescent="0.3">
      <c r="A535" s="2" t="s">
        <v>580</v>
      </c>
      <c r="B535" s="2" t="s">
        <v>122</v>
      </c>
      <c r="C535" s="2" t="s">
        <v>27</v>
      </c>
      <c r="D535" s="4">
        <v>15764.25</v>
      </c>
      <c r="E535" s="2">
        <v>4</v>
      </c>
      <c r="F535" s="4">
        <v>63057</v>
      </c>
      <c r="G535" s="3">
        <v>45424</v>
      </c>
      <c r="H535" s="2" t="s">
        <v>44</v>
      </c>
      <c r="I535" s="2">
        <v>4</v>
      </c>
    </row>
    <row r="536" spans="1:9" x14ac:dyDescent="0.3">
      <c r="A536" s="2" t="s">
        <v>581</v>
      </c>
      <c r="B536" s="2" t="s">
        <v>23</v>
      </c>
      <c r="C536" s="2" t="s">
        <v>24</v>
      </c>
      <c r="D536" s="4">
        <v>45019</v>
      </c>
      <c r="E536" s="2">
        <v>5</v>
      </c>
      <c r="F536" s="4">
        <v>225095</v>
      </c>
      <c r="G536" s="3">
        <v>45664</v>
      </c>
      <c r="H536" s="2" t="s">
        <v>44</v>
      </c>
      <c r="I536" s="2">
        <v>4.7</v>
      </c>
    </row>
    <row r="537" spans="1:9" x14ac:dyDescent="0.3">
      <c r="A537" s="2" t="s">
        <v>582</v>
      </c>
      <c r="B537" s="2" t="s">
        <v>153</v>
      </c>
      <c r="C537" s="2" t="s">
        <v>17</v>
      </c>
      <c r="D537" s="4">
        <v>42794.400000000001</v>
      </c>
      <c r="E537" s="2">
        <v>4</v>
      </c>
      <c r="F537" s="4">
        <v>171177.60000000001</v>
      </c>
      <c r="G537" s="3">
        <v>45468</v>
      </c>
      <c r="H537" s="2" t="s">
        <v>44</v>
      </c>
      <c r="I537" s="2">
        <v>4.5999999999999996</v>
      </c>
    </row>
    <row r="538" spans="1:9" x14ac:dyDescent="0.3">
      <c r="A538" s="2" t="s">
        <v>583</v>
      </c>
      <c r="B538" s="2" t="s">
        <v>12</v>
      </c>
      <c r="C538" s="2" t="s">
        <v>13</v>
      </c>
      <c r="D538" s="4">
        <v>492.53</v>
      </c>
      <c r="E538" s="2">
        <v>1</v>
      </c>
      <c r="F538" s="4">
        <v>492.53</v>
      </c>
      <c r="G538" s="3">
        <v>45397</v>
      </c>
      <c r="H538" s="2" t="s">
        <v>49</v>
      </c>
      <c r="I538" s="2">
        <v>4.4000000000000004</v>
      </c>
    </row>
    <row r="539" spans="1:9" x14ac:dyDescent="0.3">
      <c r="A539" s="2" t="s">
        <v>584</v>
      </c>
      <c r="B539" s="2" t="s">
        <v>122</v>
      </c>
      <c r="C539" s="2" t="s">
        <v>27</v>
      </c>
      <c r="D539" s="4">
        <v>30721.51</v>
      </c>
      <c r="E539" s="2">
        <v>4</v>
      </c>
      <c r="F539" s="4">
        <v>122886.04</v>
      </c>
      <c r="G539" s="3">
        <v>45501</v>
      </c>
      <c r="H539" s="2" t="s">
        <v>30</v>
      </c>
      <c r="I539" s="2">
        <v>3.4</v>
      </c>
    </row>
    <row r="540" spans="1:9" x14ac:dyDescent="0.3">
      <c r="A540" s="2" t="s">
        <v>585</v>
      </c>
      <c r="B540" s="2" t="s">
        <v>26</v>
      </c>
      <c r="C540" s="2" t="s">
        <v>27</v>
      </c>
      <c r="D540" s="4">
        <v>17162.64</v>
      </c>
      <c r="E540" s="2">
        <v>3</v>
      </c>
      <c r="F540" s="4">
        <v>51487.92</v>
      </c>
      <c r="G540" s="3">
        <v>45485</v>
      </c>
      <c r="H540" s="2" t="s">
        <v>44</v>
      </c>
      <c r="I540" s="2">
        <v>4.7</v>
      </c>
    </row>
    <row r="541" spans="1:9" x14ac:dyDescent="0.3">
      <c r="A541" s="2" t="s">
        <v>586</v>
      </c>
      <c r="B541" s="2" t="s">
        <v>52</v>
      </c>
      <c r="C541" s="2" t="s">
        <v>13</v>
      </c>
      <c r="D541" s="4">
        <v>45888.54</v>
      </c>
      <c r="E541" s="2">
        <v>3</v>
      </c>
      <c r="F541" s="4">
        <v>137665.62</v>
      </c>
      <c r="G541" s="3">
        <v>45390</v>
      </c>
      <c r="H541" s="2" t="s">
        <v>49</v>
      </c>
      <c r="I541" s="2">
        <v>2</v>
      </c>
    </row>
    <row r="542" spans="1:9" x14ac:dyDescent="0.3">
      <c r="A542" s="2" t="s">
        <v>587</v>
      </c>
      <c r="B542" s="2" t="s">
        <v>34</v>
      </c>
      <c r="C542" s="2" t="s">
        <v>27</v>
      </c>
      <c r="D542" s="4">
        <v>49052.43</v>
      </c>
      <c r="E542" s="2">
        <v>3</v>
      </c>
      <c r="F542" s="4">
        <v>147157.29</v>
      </c>
      <c r="G542" s="3">
        <v>45628</v>
      </c>
      <c r="H542" s="2" t="s">
        <v>14</v>
      </c>
      <c r="I542" s="2">
        <v>4.5</v>
      </c>
    </row>
    <row r="543" spans="1:9" x14ac:dyDescent="0.3">
      <c r="A543" s="2" t="s">
        <v>588</v>
      </c>
      <c r="B543" s="2" t="s">
        <v>122</v>
      </c>
      <c r="C543" s="2" t="s">
        <v>27</v>
      </c>
      <c r="D543" s="4">
        <v>2435.9699999999998</v>
      </c>
      <c r="E543" s="2">
        <v>1</v>
      </c>
      <c r="F543" s="4">
        <v>2435.9699999999998</v>
      </c>
      <c r="G543" s="3">
        <v>45381</v>
      </c>
      <c r="H543" s="2" t="s">
        <v>49</v>
      </c>
      <c r="I543" s="2">
        <v>2.2999999999999998</v>
      </c>
    </row>
    <row r="544" spans="1:9" x14ac:dyDescent="0.3">
      <c r="A544" s="2" t="s">
        <v>589</v>
      </c>
      <c r="B544" s="2" t="s">
        <v>34</v>
      </c>
      <c r="C544" s="2" t="s">
        <v>27</v>
      </c>
      <c r="D544" s="4">
        <v>48128.02</v>
      </c>
      <c r="E544" s="2">
        <v>4</v>
      </c>
      <c r="F544" s="4">
        <v>192512.08</v>
      </c>
      <c r="G544" s="3">
        <v>45425</v>
      </c>
      <c r="H544" s="2" t="s">
        <v>30</v>
      </c>
      <c r="I544" s="2">
        <v>3.2</v>
      </c>
    </row>
    <row r="545" spans="1:9" x14ac:dyDescent="0.3">
      <c r="A545" s="2" t="s">
        <v>590</v>
      </c>
      <c r="B545" s="2" t="s">
        <v>40</v>
      </c>
      <c r="C545" s="2" t="s">
        <v>21</v>
      </c>
      <c r="D545" s="4">
        <v>47111.56</v>
      </c>
      <c r="E545" s="2">
        <v>5</v>
      </c>
      <c r="F545" s="4">
        <v>235557.8</v>
      </c>
      <c r="G545" s="3">
        <v>45412</v>
      </c>
      <c r="H545" s="2" t="s">
        <v>18</v>
      </c>
      <c r="I545" s="2">
        <v>2.9</v>
      </c>
    </row>
    <row r="546" spans="1:9" x14ac:dyDescent="0.3">
      <c r="A546" s="2" t="s">
        <v>591</v>
      </c>
      <c r="B546" s="2" t="s">
        <v>12</v>
      </c>
      <c r="C546" s="2" t="s">
        <v>13</v>
      </c>
      <c r="D546" s="4">
        <v>8091.3</v>
      </c>
      <c r="E546" s="2">
        <v>5</v>
      </c>
      <c r="F546" s="4">
        <v>40456.5</v>
      </c>
      <c r="G546" s="3">
        <v>45518</v>
      </c>
      <c r="H546" s="2" t="s">
        <v>49</v>
      </c>
      <c r="I546" s="2">
        <v>2</v>
      </c>
    </row>
    <row r="547" spans="1:9" x14ac:dyDescent="0.3">
      <c r="A547" s="2" t="s">
        <v>592</v>
      </c>
      <c r="B547" s="2" t="s">
        <v>62</v>
      </c>
      <c r="C547" s="2" t="s">
        <v>27</v>
      </c>
      <c r="D547" s="4">
        <v>43217.1</v>
      </c>
      <c r="E547" s="2">
        <v>5</v>
      </c>
      <c r="F547" s="4">
        <v>216085.5</v>
      </c>
      <c r="G547" s="3">
        <v>45644</v>
      </c>
      <c r="H547" s="2" t="s">
        <v>14</v>
      </c>
      <c r="I547" s="2">
        <v>2.6</v>
      </c>
    </row>
    <row r="548" spans="1:9" x14ac:dyDescent="0.3">
      <c r="A548" s="2" t="s">
        <v>593</v>
      </c>
      <c r="B548" s="2" t="s">
        <v>36</v>
      </c>
      <c r="C548" s="2" t="s">
        <v>17</v>
      </c>
      <c r="D548" s="4">
        <v>35592.76</v>
      </c>
      <c r="E548" s="2">
        <v>2</v>
      </c>
      <c r="F548" s="4">
        <v>71185.52</v>
      </c>
      <c r="G548" s="3">
        <v>45418</v>
      </c>
      <c r="H548" s="2" t="s">
        <v>14</v>
      </c>
      <c r="I548" s="2">
        <v>4.5999999999999996</v>
      </c>
    </row>
    <row r="549" spans="1:9" x14ac:dyDescent="0.3">
      <c r="A549" s="2" t="s">
        <v>594</v>
      </c>
      <c r="B549" s="2" t="s">
        <v>71</v>
      </c>
      <c r="C549" s="2" t="s">
        <v>21</v>
      </c>
      <c r="D549" s="4">
        <v>9534.89</v>
      </c>
      <c r="E549" s="2">
        <v>5</v>
      </c>
      <c r="F549" s="4">
        <v>47674.45</v>
      </c>
      <c r="G549" s="3">
        <v>45487</v>
      </c>
      <c r="H549" s="2" t="s">
        <v>58</v>
      </c>
      <c r="I549" s="2">
        <v>4.2</v>
      </c>
    </row>
    <row r="550" spans="1:9" x14ac:dyDescent="0.3">
      <c r="A550" s="2" t="s">
        <v>595</v>
      </c>
      <c r="B550" s="2" t="s">
        <v>77</v>
      </c>
      <c r="C550" s="2" t="s">
        <v>21</v>
      </c>
      <c r="D550" s="4">
        <v>46990.87</v>
      </c>
      <c r="E550" s="2">
        <v>4</v>
      </c>
      <c r="F550" s="4">
        <v>187963.48</v>
      </c>
      <c r="G550" s="3">
        <v>45384</v>
      </c>
      <c r="H550" s="2" t="s">
        <v>44</v>
      </c>
      <c r="I550" s="2">
        <v>1.7</v>
      </c>
    </row>
    <row r="551" spans="1:9" x14ac:dyDescent="0.3">
      <c r="A551" s="2" t="s">
        <v>596</v>
      </c>
      <c r="B551" s="2" t="s">
        <v>34</v>
      </c>
      <c r="C551" s="2" t="s">
        <v>27</v>
      </c>
      <c r="D551" s="4">
        <v>31137.03</v>
      </c>
      <c r="E551" s="2">
        <v>5</v>
      </c>
      <c r="F551" s="4">
        <v>155685.15</v>
      </c>
      <c r="G551" s="3">
        <v>45655</v>
      </c>
      <c r="H551" s="2" t="s">
        <v>49</v>
      </c>
      <c r="I551" s="2">
        <v>2.6</v>
      </c>
    </row>
    <row r="552" spans="1:9" x14ac:dyDescent="0.3">
      <c r="A552" s="2" t="s">
        <v>597</v>
      </c>
      <c r="B552" s="2" t="s">
        <v>73</v>
      </c>
      <c r="C552" s="2" t="s">
        <v>24</v>
      </c>
      <c r="D552" s="4">
        <v>35821.160000000003</v>
      </c>
      <c r="E552" s="2">
        <v>4</v>
      </c>
      <c r="F552" s="4">
        <v>143284.64000000001</v>
      </c>
      <c r="G552" s="3">
        <v>45695</v>
      </c>
      <c r="H552" s="2" t="s">
        <v>14</v>
      </c>
      <c r="I552" s="2">
        <v>2.1</v>
      </c>
    </row>
    <row r="553" spans="1:9" x14ac:dyDescent="0.3">
      <c r="A553" s="2" t="s">
        <v>598</v>
      </c>
      <c r="B553" s="2" t="s">
        <v>77</v>
      </c>
      <c r="C553" s="2" t="s">
        <v>21</v>
      </c>
      <c r="D553" s="4">
        <v>28156.95</v>
      </c>
      <c r="E553" s="2">
        <v>5</v>
      </c>
      <c r="F553" s="4">
        <v>140784.75</v>
      </c>
      <c r="G553" s="3">
        <v>45418</v>
      </c>
      <c r="H553" s="2" t="s">
        <v>18</v>
      </c>
      <c r="I553" s="2">
        <v>2.7</v>
      </c>
    </row>
    <row r="554" spans="1:9" x14ac:dyDescent="0.3">
      <c r="A554" s="2" t="s">
        <v>599</v>
      </c>
      <c r="B554" s="2" t="s">
        <v>42</v>
      </c>
      <c r="C554" s="2" t="s">
        <v>21</v>
      </c>
      <c r="D554" s="4">
        <v>9335.19</v>
      </c>
      <c r="E554" s="2">
        <v>2</v>
      </c>
      <c r="F554" s="4">
        <v>18670.38</v>
      </c>
      <c r="G554" s="3">
        <v>45624</v>
      </c>
      <c r="H554" s="2" t="s">
        <v>44</v>
      </c>
      <c r="I554" s="2">
        <v>3.9</v>
      </c>
    </row>
    <row r="555" spans="1:9" x14ac:dyDescent="0.3">
      <c r="A555" s="2" t="s">
        <v>600</v>
      </c>
      <c r="B555" s="2" t="s">
        <v>56</v>
      </c>
      <c r="C555" s="2" t="s">
        <v>17</v>
      </c>
      <c r="D555" s="4">
        <v>25114.77</v>
      </c>
      <c r="E555" s="2">
        <v>2</v>
      </c>
      <c r="F555" s="4">
        <v>50229.54</v>
      </c>
      <c r="G555" s="3">
        <v>45511</v>
      </c>
      <c r="H555" s="2" t="s">
        <v>44</v>
      </c>
      <c r="I555" s="2">
        <v>3.6</v>
      </c>
    </row>
    <row r="556" spans="1:9" x14ac:dyDescent="0.3">
      <c r="A556" s="2" t="s">
        <v>601</v>
      </c>
      <c r="B556" s="2" t="s">
        <v>42</v>
      </c>
      <c r="C556" s="2" t="s">
        <v>21</v>
      </c>
      <c r="D556" s="4">
        <v>19961.03</v>
      </c>
      <c r="E556" s="2">
        <v>3</v>
      </c>
      <c r="F556" s="4">
        <v>59883.09</v>
      </c>
      <c r="G556" s="3">
        <v>45624</v>
      </c>
      <c r="H556" s="2" t="s">
        <v>49</v>
      </c>
      <c r="I556" s="2">
        <v>2.9</v>
      </c>
    </row>
    <row r="557" spans="1:9" x14ac:dyDescent="0.3">
      <c r="A557" s="2" t="s">
        <v>602</v>
      </c>
      <c r="B557" s="2" t="s">
        <v>73</v>
      </c>
      <c r="C557" s="2" t="s">
        <v>24</v>
      </c>
      <c r="D557" s="4">
        <v>38488.04</v>
      </c>
      <c r="E557" s="2">
        <v>2</v>
      </c>
      <c r="F557" s="4">
        <v>76976.08</v>
      </c>
      <c r="G557" s="3">
        <v>45508</v>
      </c>
      <c r="H557" s="2" t="s">
        <v>18</v>
      </c>
      <c r="I557" s="2">
        <v>1.1000000000000001</v>
      </c>
    </row>
    <row r="558" spans="1:9" x14ac:dyDescent="0.3">
      <c r="A558" s="2" t="s">
        <v>603</v>
      </c>
      <c r="B558" s="2" t="s">
        <v>40</v>
      </c>
      <c r="C558" s="2" t="s">
        <v>21</v>
      </c>
      <c r="D558" s="4">
        <v>20202.560000000001</v>
      </c>
      <c r="E558" s="2">
        <v>5</v>
      </c>
      <c r="F558" s="4">
        <v>101012.8</v>
      </c>
      <c r="G558" s="3">
        <v>45429</v>
      </c>
      <c r="H558" s="2" t="s">
        <v>49</v>
      </c>
      <c r="I558" s="2">
        <v>3.6</v>
      </c>
    </row>
    <row r="559" spans="1:9" x14ac:dyDescent="0.3">
      <c r="A559" s="2" t="s">
        <v>604</v>
      </c>
      <c r="B559" s="2" t="s">
        <v>84</v>
      </c>
      <c r="C559" s="2" t="s">
        <v>24</v>
      </c>
      <c r="D559" s="4">
        <v>39008.370000000003</v>
      </c>
      <c r="E559" s="2">
        <v>3</v>
      </c>
      <c r="F559" s="4">
        <v>117025.11</v>
      </c>
      <c r="G559" s="3">
        <v>45556</v>
      </c>
      <c r="H559" s="2" t="s">
        <v>58</v>
      </c>
      <c r="I559" s="2">
        <v>2.2000000000000002</v>
      </c>
    </row>
    <row r="560" spans="1:9" x14ac:dyDescent="0.3">
      <c r="A560" s="2" t="s">
        <v>605</v>
      </c>
      <c r="B560" s="2" t="s">
        <v>40</v>
      </c>
      <c r="C560" s="2" t="s">
        <v>21</v>
      </c>
      <c r="D560" s="4">
        <v>9946.27</v>
      </c>
      <c r="E560" s="2">
        <v>1</v>
      </c>
      <c r="F560" s="4">
        <v>9946.27</v>
      </c>
      <c r="G560" s="3">
        <v>45645</v>
      </c>
      <c r="H560" s="2" t="s">
        <v>49</v>
      </c>
      <c r="I560" s="2">
        <v>1.1000000000000001</v>
      </c>
    </row>
    <row r="561" spans="1:9" x14ac:dyDescent="0.3">
      <c r="A561" s="2" t="s">
        <v>606</v>
      </c>
      <c r="B561" s="2" t="s">
        <v>56</v>
      </c>
      <c r="C561" s="2" t="s">
        <v>17</v>
      </c>
      <c r="D561" s="4">
        <v>7994.76</v>
      </c>
      <c r="E561" s="2">
        <v>5</v>
      </c>
      <c r="F561" s="4">
        <v>39973.800000000003</v>
      </c>
      <c r="G561" s="3">
        <v>45558</v>
      </c>
      <c r="H561" s="2" t="s">
        <v>14</v>
      </c>
      <c r="I561" s="2">
        <v>1.5</v>
      </c>
    </row>
    <row r="562" spans="1:9" x14ac:dyDescent="0.3">
      <c r="A562" s="2" t="s">
        <v>607</v>
      </c>
      <c r="B562" s="2" t="s">
        <v>26</v>
      </c>
      <c r="C562" s="2" t="s">
        <v>27</v>
      </c>
      <c r="D562" s="4">
        <v>6341.62</v>
      </c>
      <c r="E562" s="2">
        <v>3</v>
      </c>
      <c r="F562" s="4">
        <v>19024.86</v>
      </c>
      <c r="G562" s="3">
        <v>45632</v>
      </c>
      <c r="H562" s="2" t="s">
        <v>49</v>
      </c>
      <c r="I562" s="2">
        <v>4.4000000000000004</v>
      </c>
    </row>
    <row r="563" spans="1:9" x14ac:dyDescent="0.3">
      <c r="A563" s="2" t="s">
        <v>608</v>
      </c>
      <c r="B563" s="2" t="s">
        <v>16</v>
      </c>
      <c r="C563" s="2" t="s">
        <v>17</v>
      </c>
      <c r="D563" s="4">
        <v>37503.57</v>
      </c>
      <c r="E563" s="2">
        <v>4</v>
      </c>
      <c r="F563" s="4">
        <v>150014.28</v>
      </c>
      <c r="G563" s="3">
        <v>45385</v>
      </c>
      <c r="H563" s="2" t="s">
        <v>44</v>
      </c>
      <c r="I563" s="2">
        <v>1.8</v>
      </c>
    </row>
    <row r="564" spans="1:9" x14ac:dyDescent="0.3">
      <c r="A564" s="2" t="s">
        <v>609</v>
      </c>
      <c r="B564" s="2" t="s">
        <v>95</v>
      </c>
      <c r="C564" s="2" t="s">
        <v>13</v>
      </c>
      <c r="D564" s="4">
        <v>36760.35</v>
      </c>
      <c r="E564" s="2">
        <v>1</v>
      </c>
      <c r="F564" s="4">
        <v>36760.35</v>
      </c>
      <c r="G564" s="3">
        <v>45531</v>
      </c>
      <c r="H564" s="2" t="s">
        <v>49</v>
      </c>
      <c r="I564" s="2">
        <v>1.5</v>
      </c>
    </row>
    <row r="565" spans="1:9" x14ac:dyDescent="0.3">
      <c r="A565" s="2" t="s">
        <v>610</v>
      </c>
      <c r="B565" s="2" t="s">
        <v>36</v>
      </c>
      <c r="C565" s="2" t="s">
        <v>17</v>
      </c>
      <c r="D565" s="4">
        <v>38023.86</v>
      </c>
      <c r="E565" s="2">
        <v>5</v>
      </c>
      <c r="F565" s="4">
        <v>190119.3</v>
      </c>
      <c r="G565" s="3">
        <v>45495</v>
      </c>
      <c r="H565" s="2" t="s">
        <v>49</v>
      </c>
      <c r="I565" s="2">
        <v>2.1</v>
      </c>
    </row>
    <row r="566" spans="1:9" x14ac:dyDescent="0.3">
      <c r="A566" s="2" t="s">
        <v>611</v>
      </c>
      <c r="B566" s="2" t="s">
        <v>153</v>
      </c>
      <c r="C566" s="2" t="s">
        <v>17</v>
      </c>
      <c r="D566" s="4">
        <v>17983.34</v>
      </c>
      <c r="E566" s="2">
        <v>1</v>
      </c>
      <c r="F566" s="4">
        <v>17983.34</v>
      </c>
      <c r="G566" s="3">
        <v>45342</v>
      </c>
      <c r="H566" s="2" t="s">
        <v>44</v>
      </c>
      <c r="I566" s="2">
        <v>1.5</v>
      </c>
    </row>
    <row r="567" spans="1:9" x14ac:dyDescent="0.3">
      <c r="A567" s="2" t="s">
        <v>612</v>
      </c>
      <c r="B567" s="2" t="s">
        <v>62</v>
      </c>
      <c r="C567" s="2" t="s">
        <v>27</v>
      </c>
      <c r="D567" s="4">
        <v>25457.34</v>
      </c>
      <c r="E567" s="2">
        <v>5</v>
      </c>
      <c r="F567" s="4">
        <v>127286.7</v>
      </c>
      <c r="G567" s="3">
        <v>45423</v>
      </c>
      <c r="H567" s="2" t="s">
        <v>18</v>
      </c>
      <c r="I567" s="2">
        <v>4.3</v>
      </c>
    </row>
    <row r="568" spans="1:9" x14ac:dyDescent="0.3">
      <c r="A568" s="2" t="s">
        <v>613</v>
      </c>
      <c r="B568" s="2" t="s">
        <v>102</v>
      </c>
      <c r="C568" s="2" t="s">
        <v>13</v>
      </c>
      <c r="D568" s="4">
        <v>26220.67</v>
      </c>
      <c r="E568" s="2">
        <v>4</v>
      </c>
      <c r="F568" s="4">
        <v>104882.68</v>
      </c>
      <c r="G568" s="3">
        <v>45412</v>
      </c>
      <c r="H568" s="2" t="s">
        <v>58</v>
      </c>
      <c r="I568" s="2">
        <v>3.3</v>
      </c>
    </row>
    <row r="569" spans="1:9" x14ac:dyDescent="0.3">
      <c r="A569" s="2" t="s">
        <v>614</v>
      </c>
      <c r="B569" s="2" t="s">
        <v>12</v>
      </c>
      <c r="C569" s="2" t="s">
        <v>13</v>
      </c>
      <c r="D569" s="4">
        <v>48670.07</v>
      </c>
      <c r="E569" s="2">
        <v>1</v>
      </c>
      <c r="F569" s="4">
        <v>48670.07</v>
      </c>
      <c r="G569" s="3">
        <v>45689</v>
      </c>
      <c r="H569" s="2" t="s">
        <v>18</v>
      </c>
      <c r="I569" s="2">
        <v>4.2</v>
      </c>
    </row>
    <row r="570" spans="1:9" x14ac:dyDescent="0.3">
      <c r="A570" s="2" t="s">
        <v>615</v>
      </c>
      <c r="B570" s="2" t="s">
        <v>46</v>
      </c>
      <c r="C570" s="2" t="s">
        <v>24</v>
      </c>
      <c r="D570" s="4">
        <v>12197.36</v>
      </c>
      <c r="E570" s="2">
        <v>5</v>
      </c>
      <c r="F570" s="4">
        <v>60986.8</v>
      </c>
      <c r="G570" s="3">
        <v>45667</v>
      </c>
      <c r="H570" s="2" t="s">
        <v>14</v>
      </c>
      <c r="I570" s="2">
        <v>3.5</v>
      </c>
    </row>
    <row r="571" spans="1:9" x14ac:dyDescent="0.3">
      <c r="A571" s="2" t="s">
        <v>616</v>
      </c>
      <c r="B571" s="2" t="s">
        <v>38</v>
      </c>
      <c r="C571" s="2" t="s">
        <v>24</v>
      </c>
      <c r="D571" s="4">
        <v>14488.22</v>
      </c>
      <c r="E571" s="2">
        <v>4</v>
      </c>
      <c r="F571" s="4">
        <v>57952.88</v>
      </c>
      <c r="G571" s="3">
        <v>45651</v>
      </c>
      <c r="H571" s="2" t="s">
        <v>58</v>
      </c>
      <c r="I571" s="2">
        <v>2.7</v>
      </c>
    </row>
    <row r="572" spans="1:9" x14ac:dyDescent="0.3">
      <c r="A572" s="2" t="s">
        <v>617</v>
      </c>
      <c r="B572" s="2" t="s">
        <v>34</v>
      </c>
      <c r="C572" s="2" t="s">
        <v>27</v>
      </c>
      <c r="D572" s="4">
        <v>33547.94</v>
      </c>
      <c r="E572" s="2">
        <v>2</v>
      </c>
      <c r="F572" s="4">
        <v>67095.88</v>
      </c>
      <c r="G572" s="3">
        <v>45672</v>
      </c>
      <c r="H572" s="2" t="s">
        <v>58</v>
      </c>
      <c r="I572" s="2">
        <v>1.1000000000000001</v>
      </c>
    </row>
    <row r="573" spans="1:9" x14ac:dyDescent="0.3">
      <c r="A573" s="2" t="s">
        <v>618</v>
      </c>
      <c r="B573" s="2" t="s">
        <v>32</v>
      </c>
      <c r="C573" s="2" t="s">
        <v>17</v>
      </c>
      <c r="D573" s="4">
        <v>4800.26</v>
      </c>
      <c r="E573" s="2">
        <v>5</v>
      </c>
      <c r="F573" s="4">
        <v>24001.3</v>
      </c>
      <c r="G573" s="3">
        <v>45374</v>
      </c>
      <c r="H573" s="2" t="s">
        <v>18</v>
      </c>
      <c r="I573" s="2">
        <v>2.2000000000000002</v>
      </c>
    </row>
    <row r="574" spans="1:9" x14ac:dyDescent="0.3">
      <c r="A574" s="2" t="s">
        <v>619</v>
      </c>
      <c r="B574" s="2" t="s">
        <v>26</v>
      </c>
      <c r="C574" s="2" t="s">
        <v>27</v>
      </c>
      <c r="D574" s="4">
        <v>36429.57</v>
      </c>
      <c r="E574" s="2">
        <v>4</v>
      </c>
      <c r="F574" s="4">
        <v>145718.28</v>
      </c>
      <c r="G574" s="3">
        <v>45390</v>
      </c>
      <c r="H574" s="2" t="s">
        <v>49</v>
      </c>
      <c r="I574" s="2">
        <v>4.5999999999999996</v>
      </c>
    </row>
    <row r="575" spans="1:9" x14ac:dyDescent="0.3">
      <c r="A575" s="2" t="s">
        <v>620</v>
      </c>
      <c r="B575" s="2" t="s">
        <v>38</v>
      </c>
      <c r="C575" s="2" t="s">
        <v>24</v>
      </c>
      <c r="D575" s="4">
        <v>29775.43</v>
      </c>
      <c r="E575" s="2">
        <v>4</v>
      </c>
      <c r="F575" s="4">
        <v>119101.72</v>
      </c>
      <c r="G575" s="3">
        <v>45339</v>
      </c>
      <c r="H575" s="2" t="s">
        <v>14</v>
      </c>
      <c r="I575" s="2">
        <v>4.5999999999999996</v>
      </c>
    </row>
    <row r="576" spans="1:9" x14ac:dyDescent="0.3">
      <c r="A576" s="2" t="s">
        <v>621</v>
      </c>
      <c r="B576" s="2" t="s">
        <v>40</v>
      </c>
      <c r="C576" s="2" t="s">
        <v>21</v>
      </c>
      <c r="D576" s="4">
        <v>10736.32</v>
      </c>
      <c r="E576" s="2">
        <v>3</v>
      </c>
      <c r="F576" s="4">
        <v>32208.959999999999</v>
      </c>
      <c r="G576" s="3">
        <v>45488</v>
      </c>
      <c r="H576" s="2" t="s">
        <v>18</v>
      </c>
      <c r="I576" s="2">
        <v>3.7</v>
      </c>
    </row>
    <row r="577" spans="1:9" x14ac:dyDescent="0.3">
      <c r="A577" s="2" t="s">
        <v>622</v>
      </c>
      <c r="B577" s="2" t="s">
        <v>102</v>
      </c>
      <c r="C577" s="2" t="s">
        <v>13</v>
      </c>
      <c r="D577" s="4">
        <v>8005.02</v>
      </c>
      <c r="E577" s="2">
        <v>5</v>
      </c>
      <c r="F577" s="4">
        <v>40025.1</v>
      </c>
      <c r="G577" s="3">
        <v>45422</v>
      </c>
      <c r="H577" s="2" t="s">
        <v>18</v>
      </c>
      <c r="I577" s="2">
        <v>2.5</v>
      </c>
    </row>
    <row r="578" spans="1:9" x14ac:dyDescent="0.3">
      <c r="A578" s="2" t="s">
        <v>623</v>
      </c>
      <c r="B578" s="2" t="s">
        <v>40</v>
      </c>
      <c r="C578" s="2" t="s">
        <v>21</v>
      </c>
      <c r="D578" s="4">
        <v>32078.48</v>
      </c>
      <c r="E578" s="2">
        <v>3</v>
      </c>
      <c r="F578" s="4">
        <v>96235.44</v>
      </c>
      <c r="G578" s="3">
        <v>45378</v>
      </c>
      <c r="H578" s="2" t="s">
        <v>49</v>
      </c>
      <c r="I578" s="2">
        <v>4.5</v>
      </c>
    </row>
    <row r="579" spans="1:9" x14ac:dyDescent="0.3">
      <c r="A579" s="2" t="s">
        <v>624</v>
      </c>
      <c r="B579" s="2" t="s">
        <v>23</v>
      </c>
      <c r="C579" s="2" t="s">
        <v>24</v>
      </c>
      <c r="D579" s="4">
        <v>31277.18</v>
      </c>
      <c r="E579" s="2">
        <v>1</v>
      </c>
      <c r="F579" s="4">
        <v>31277.18</v>
      </c>
      <c r="G579" s="3">
        <v>45545</v>
      </c>
      <c r="H579" s="2" t="s">
        <v>14</v>
      </c>
      <c r="I579" s="2">
        <v>3</v>
      </c>
    </row>
    <row r="580" spans="1:9" x14ac:dyDescent="0.3">
      <c r="A580" s="2" t="s">
        <v>625</v>
      </c>
      <c r="B580" s="2" t="s">
        <v>84</v>
      </c>
      <c r="C580" s="2" t="s">
        <v>24</v>
      </c>
      <c r="D580" s="4">
        <v>31094.13</v>
      </c>
      <c r="E580" s="2">
        <v>1</v>
      </c>
      <c r="F580" s="4">
        <v>31094.13</v>
      </c>
      <c r="G580" s="3">
        <v>45599</v>
      </c>
      <c r="H580" s="2" t="s">
        <v>18</v>
      </c>
      <c r="I580" s="2">
        <v>2.7</v>
      </c>
    </row>
    <row r="581" spans="1:9" x14ac:dyDescent="0.3">
      <c r="A581" s="2" t="s">
        <v>626</v>
      </c>
      <c r="B581" s="2" t="s">
        <v>48</v>
      </c>
      <c r="C581" s="2" t="s">
        <v>13</v>
      </c>
      <c r="D581" s="4">
        <v>15881.67</v>
      </c>
      <c r="E581" s="2">
        <v>4</v>
      </c>
      <c r="F581" s="4">
        <v>63526.68</v>
      </c>
      <c r="G581" s="3">
        <v>45676</v>
      </c>
      <c r="H581" s="2" t="s">
        <v>30</v>
      </c>
      <c r="I581" s="2">
        <v>4.3</v>
      </c>
    </row>
    <row r="582" spans="1:9" x14ac:dyDescent="0.3">
      <c r="A582" s="2" t="s">
        <v>627</v>
      </c>
      <c r="B582" s="2" t="s">
        <v>36</v>
      </c>
      <c r="C582" s="2" t="s">
        <v>17</v>
      </c>
      <c r="D582" s="4">
        <v>16129.77</v>
      </c>
      <c r="E582" s="2">
        <v>4</v>
      </c>
      <c r="F582" s="4">
        <v>64519.08</v>
      </c>
      <c r="G582" s="3">
        <v>45462</v>
      </c>
      <c r="H582" s="2" t="s">
        <v>14</v>
      </c>
      <c r="I582" s="2">
        <v>1</v>
      </c>
    </row>
    <row r="583" spans="1:9" x14ac:dyDescent="0.3">
      <c r="A583" s="2" t="s">
        <v>628</v>
      </c>
      <c r="B583" s="2" t="s">
        <v>71</v>
      </c>
      <c r="C583" s="2" t="s">
        <v>21</v>
      </c>
      <c r="D583" s="4">
        <v>39478.69</v>
      </c>
      <c r="E583" s="2">
        <v>5</v>
      </c>
      <c r="F583" s="4">
        <v>197393.45</v>
      </c>
      <c r="G583" s="3">
        <v>45620</v>
      </c>
      <c r="H583" s="2" t="s">
        <v>49</v>
      </c>
      <c r="I583" s="2">
        <v>2.7</v>
      </c>
    </row>
    <row r="584" spans="1:9" x14ac:dyDescent="0.3">
      <c r="A584" s="2" t="s">
        <v>629</v>
      </c>
      <c r="B584" s="2" t="s">
        <v>48</v>
      </c>
      <c r="C584" s="2" t="s">
        <v>13</v>
      </c>
      <c r="D584" s="4">
        <v>29635.8</v>
      </c>
      <c r="E584" s="2">
        <v>3</v>
      </c>
      <c r="F584" s="4">
        <v>88907.4</v>
      </c>
      <c r="G584" s="3">
        <v>45673</v>
      </c>
      <c r="H584" s="2" t="s">
        <v>49</v>
      </c>
      <c r="I584" s="2">
        <v>1.2</v>
      </c>
    </row>
    <row r="585" spans="1:9" x14ac:dyDescent="0.3">
      <c r="A585" s="2" t="s">
        <v>630</v>
      </c>
      <c r="B585" s="2" t="s">
        <v>23</v>
      </c>
      <c r="C585" s="2" t="s">
        <v>24</v>
      </c>
      <c r="D585" s="4">
        <v>7892.27</v>
      </c>
      <c r="E585" s="2">
        <v>2</v>
      </c>
      <c r="F585" s="4">
        <v>15784.54</v>
      </c>
      <c r="G585" s="3">
        <v>45414</v>
      </c>
      <c r="H585" s="2" t="s">
        <v>58</v>
      </c>
      <c r="I585" s="2">
        <v>1.1000000000000001</v>
      </c>
    </row>
    <row r="586" spans="1:9" x14ac:dyDescent="0.3">
      <c r="A586" s="2" t="s">
        <v>631</v>
      </c>
      <c r="B586" s="2" t="s">
        <v>38</v>
      </c>
      <c r="C586" s="2" t="s">
        <v>24</v>
      </c>
      <c r="D586" s="4">
        <v>45112.24</v>
      </c>
      <c r="E586" s="2">
        <v>3</v>
      </c>
      <c r="F586" s="4">
        <v>135336.72</v>
      </c>
      <c r="G586" s="3">
        <v>45609</v>
      </c>
      <c r="H586" s="2" t="s">
        <v>30</v>
      </c>
      <c r="I586" s="2">
        <v>4.7</v>
      </c>
    </row>
    <row r="587" spans="1:9" x14ac:dyDescent="0.3">
      <c r="A587" s="2" t="s">
        <v>632</v>
      </c>
      <c r="B587" s="2" t="s">
        <v>16</v>
      </c>
      <c r="C587" s="2" t="s">
        <v>17</v>
      </c>
      <c r="D587" s="4">
        <v>26527.78</v>
      </c>
      <c r="E587" s="2">
        <v>4</v>
      </c>
      <c r="F587" s="4">
        <v>106111.12</v>
      </c>
      <c r="G587" s="3">
        <v>45337</v>
      </c>
      <c r="H587" s="2" t="s">
        <v>58</v>
      </c>
      <c r="I587" s="2">
        <v>3.7</v>
      </c>
    </row>
    <row r="588" spans="1:9" x14ac:dyDescent="0.3">
      <c r="A588" s="2" t="s">
        <v>633</v>
      </c>
      <c r="B588" s="2" t="s">
        <v>26</v>
      </c>
      <c r="C588" s="2" t="s">
        <v>27</v>
      </c>
      <c r="D588" s="4">
        <v>37170.400000000001</v>
      </c>
      <c r="E588" s="2">
        <v>5</v>
      </c>
      <c r="F588" s="4">
        <v>185852</v>
      </c>
      <c r="G588" s="3">
        <v>45420</v>
      </c>
      <c r="H588" s="2" t="s">
        <v>14</v>
      </c>
      <c r="I588" s="2">
        <v>3.7</v>
      </c>
    </row>
    <row r="589" spans="1:9" x14ac:dyDescent="0.3">
      <c r="A589" s="2" t="s">
        <v>634</v>
      </c>
      <c r="B589" s="2" t="s">
        <v>16</v>
      </c>
      <c r="C589" s="2" t="s">
        <v>17</v>
      </c>
      <c r="D589" s="4">
        <v>47535.79</v>
      </c>
      <c r="E589" s="2">
        <v>5</v>
      </c>
      <c r="F589" s="4">
        <v>237678.95</v>
      </c>
      <c r="G589" s="3">
        <v>45337</v>
      </c>
      <c r="H589" s="2" t="s">
        <v>14</v>
      </c>
      <c r="I589" s="2">
        <v>1.8</v>
      </c>
    </row>
    <row r="590" spans="1:9" x14ac:dyDescent="0.3">
      <c r="A590" s="2" t="s">
        <v>635</v>
      </c>
      <c r="B590" s="2" t="s">
        <v>62</v>
      </c>
      <c r="C590" s="2" t="s">
        <v>27</v>
      </c>
      <c r="D590" s="4">
        <v>30252.89</v>
      </c>
      <c r="E590" s="2">
        <v>4</v>
      </c>
      <c r="F590" s="4">
        <v>121011.56</v>
      </c>
      <c r="G590" s="3">
        <v>45642</v>
      </c>
      <c r="H590" s="2" t="s">
        <v>30</v>
      </c>
      <c r="I590" s="2">
        <v>4.0999999999999996</v>
      </c>
    </row>
    <row r="591" spans="1:9" x14ac:dyDescent="0.3">
      <c r="A591" s="2" t="s">
        <v>636</v>
      </c>
      <c r="B591" s="2" t="s">
        <v>32</v>
      </c>
      <c r="C591" s="2" t="s">
        <v>17</v>
      </c>
      <c r="D591" s="4">
        <v>3126.9</v>
      </c>
      <c r="E591" s="2">
        <v>3</v>
      </c>
      <c r="F591" s="4">
        <v>9380.7000000000007</v>
      </c>
      <c r="G591" s="3">
        <v>45595</v>
      </c>
      <c r="H591" s="2" t="s">
        <v>44</v>
      </c>
      <c r="I591" s="2">
        <v>1.9</v>
      </c>
    </row>
    <row r="592" spans="1:9" x14ac:dyDescent="0.3">
      <c r="A592" s="2" t="s">
        <v>637</v>
      </c>
      <c r="B592" s="2" t="s">
        <v>102</v>
      </c>
      <c r="C592" s="2" t="s">
        <v>13</v>
      </c>
      <c r="D592" s="4">
        <v>40295.47</v>
      </c>
      <c r="E592" s="2">
        <v>3</v>
      </c>
      <c r="F592" s="4">
        <v>120886.41</v>
      </c>
      <c r="G592" s="3">
        <v>45411</v>
      </c>
      <c r="H592" s="2" t="s">
        <v>18</v>
      </c>
      <c r="I592" s="2">
        <v>2.8</v>
      </c>
    </row>
    <row r="593" spans="1:9" x14ac:dyDescent="0.3">
      <c r="A593" s="2" t="s">
        <v>638</v>
      </c>
      <c r="B593" s="2" t="s">
        <v>40</v>
      </c>
      <c r="C593" s="2" t="s">
        <v>21</v>
      </c>
      <c r="D593" s="4">
        <v>462</v>
      </c>
      <c r="E593" s="2">
        <v>4</v>
      </c>
      <c r="F593" s="4">
        <v>1848</v>
      </c>
      <c r="G593" s="3">
        <v>45461</v>
      </c>
      <c r="H593" s="2" t="s">
        <v>44</v>
      </c>
      <c r="I593" s="2">
        <v>3.4</v>
      </c>
    </row>
    <row r="594" spans="1:9" x14ac:dyDescent="0.3">
      <c r="A594" s="2" t="s">
        <v>639</v>
      </c>
      <c r="B594" s="2" t="s">
        <v>42</v>
      </c>
      <c r="C594" s="2" t="s">
        <v>21</v>
      </c>
      <c r="D594" s="4">
        <v>22475.54</v>
      </c>
      <c r="E594" s="2">
        <v>3</v>
      </c>
      <c r="F594" s="4">
        <v>67426.62</v>
      </c>
      <c r="G594" s="3">
        <v>45366</v>
      </c>
      <c r="H594" s="2" t="s">
        <v>18</v>
      </c>
      <c r="I594" s="2">
        <v>1.6</v>
      </c>
    </row>
    <row r="595" spans="1:9" x14ac:dyDescent="0.3">
      <c r="A595" s="2" t="s">
        <v>640</v>
      </c>
      <c r="B595" s="2" t="s">
        <v>84</v>
      </c>
      <c r="C595" s="2" t="s">
        <v>24</v>
      </c>
      <c r="D595" s="4">
        <v>19218.55</v>
      </c>
      <c r="E595" s="2">
        <v>2</v>
      </c>
      <c r="F595" s="4">
        <v>38437.1</v>
      </c>
      <c r="G595" s="3">
        <v>45555</v>
      </c>
      <c r="H595" s="2" t="s">
        <v>30</v>
      </c>
      <c r="I595" s="2">
        <v>4.5</v>
      </c>
    </row>
    <row r="596" spans="1:9" x14ac:dyDescent="0.3">
      <c r="A596" s="2" t="s">
        <v>641</v>
      </c>
      <c r="B596" s="2" t="s">
        <v>23</v>
      </c>
      <c r="C596" s="2" t="s">
        <v>24</v>
      </c>
      <c r="D596" s="4">
        <v>31162.39</v>
      </c>
      <c r="E596" s="2">
        <v>5</v>
      </c>
      <c r="F596" s="4">
        <v>155811.95000000001</v>
      </c>
      <c r="G596" s="3">
        <v>45398</v>
      </c>
      <c r="H596" s="2" t="s">
        <v>49</v>
      </c>
      <c r="I596" s="2">
        <v>3.4</v>
      </c>
    </row>
    <row r="597" spans="1:9" x14ac:dyDescent="0.3">
      <c r="A597" s="2" t="s">
        <v>642</v>
      </c>
      <c r="B597" s="2" t="s">
        <v>71</v>
      </c>
      <c r="C597" s="2" t="s">
        <v>21</v>
      </c>
      <c r="D597" s="4">
        <v>16017.54</v>
      </c>
      <c r="E597" s="2">
        <v>1</v>
      </c>
      <c r="F597" s="4">
        <v>16017.54</v>
      </c>
      <c r="G597" s="3">
        <v>45458</v>
      </c>
      <c r="H597" s="2" t="s">
        <v>18</v>
      </c>
      <c r="I597" s="2">
        <v>3.5</v>
      </c>
    </row>
    <row r="598" spans="1:9" x14ac:dyDescent="0.3">
      <c r="A598" s="2" t="s">
        <v>643</v>
      </c>
      <c r="B598" s="2" t="s">
        <v>26</v>
      </c>
      <c r="C598" s="2" t="s">
        <v>27</v>
      </c>
      <c r="D598" s="4">
        <v>19008.810000000001</v>
      </c>
      <c r="E598" s="2">
        <v>4</v>
      </c>
      <c r="F598" s="4">
        <v>76035.240000000005</v>
      </c>
      <c r="G598" s="3">
        <v>45478</v>
      </c>
      <c r="H598" s="2" t="s">
        <v>44</v>
      </c>
      <c r="I598" s="2">
        <v>4.2</v>
      </c>
    </row>
    <row r="599" spans="1:9" x14ac:dyDescent="0.3">
      <c r="A599" s="2" t="s">
        <v>644</v>
      </c>
      <c r="B599" s="2" t="s">
        <v>84</v>
      </c>
      <c r="C599" s="2" t="s">
        <v>24</v>
      </c>
      <c r="D599" s="4">
        <v>22353.43</v>
      </c>
      <c r="E599" s="2">
        <v>3</v>
      </c>
      <c r="F599" s="4">
        <v>67060.289999999994</v>
      </c>
      <c r="G599" s="3">
        <v>45628</v>
      </c>
      <c r="H599" s="2" t="s">
        <v>14</v>
      </c>
      <c r="I599" s="2">
        <v>1.3</v>
      </c>
    </row>
    <row r="600" spans="1:9" x14ac:dyDescent="0.3">
      <c r="A600" s="2" t="s">
        <v>645</v>
      </c>
      <c r="B600" s="2" t="s">
        <v>29</v>
      </c>
      <c r="C600" s="2" t="s">
        <v>27</v>
      </c>
      <c r="D600" s="4">
        <v>30122.28</v>
      </c>
      <c r="E600" s="2">
        <v>5</v>
      </c>
      <c r="F600" s="4">
        <v>150611.4</v>
      </c>
      <c r="G600" s="3">
        <v>45687</v>
      </c>
      <c r="H600" s="2" t="s">
        <v>18</v>
      </c>
      <c r="I600" s="2">
        <v>4.8</v>
      </c>
    </row>
    <row r="601" spans="1:9" x14ac:dyDescent="0.3">
      <c r="A601" s="2" t="s">
        <v>646</v>
      </c>
      <c r="B601" s="2" t="s">
        <v>38</v>
      </c>
      <c r="C601" s="2" t="s">
        <v>24</v>
      </c>
      <c r="D601" s="4">
        <v>7289.72</v>
      </c>
      <c r="E601" s="2">
        <v>5</v>
      </c>
      <c r="F601" s="4">
        <v>36448.6</v>
      </c>
      <c r="G601" s="3">
        <v>45441</v>
      </c>
      <c r="H601" s="2" t="s">
        <v>30</v>
      </c>
      <c r="I601" s="2">
        <v>1.9</v>
      </c>
    </row>
    <row r="602" spans="1:9" x14ac:dyDescent="0.3">
      <c r="A602" s="2" t="s">
        <v>647</v>
      </c>
      <c r="B602" s="2" t="s">
        <v>23</v>
      </c>
      <c r="C602" s="2" t="s">
        <v>24</v>
      </c>
      <c r="D602" s="4">
        <v>32122.43</v>
      </c>
      <c r="E602" s="2">
        <v>4</v>
      </c>
      <c r="F602" s="4">
        <v>128489.72</v>
      </c>
      <c r="G602" s="3">
        <v>45344</v>
      </c>
      <c r="H602" s="2" t="s">
        <v>44</v>
      </c>
      <c r="I602" s="2">
        <v>2.8</v>
      </c>
    </row>
    <row r="603" spans="1:9" x14ac:dyDescent="0.3">
      <c r="A603" s="2" t="s">
        <v>648</v>
      </c>
      <c r="B603" s="2" t="s">
        <v>32</v>
      </c>
      <c r="C603" s="2" t="s">
        <v>17</v>
      </c>
      <c r="D603" s="4">
        <v>43852.34</v>
      </c>
      <c r="E603" s="2">
        <v>3</v>
      </c>
      <c r="F603" s="4">
        <v>131557.01999999999</v>
      </c>
      <c r="G603" s="3">
        <v>45406</v>
      </c>
      <c r="H603" s="2" t="s">
        <v>58</v>
      </c>
      <c r="I603" s="2">
        <v>4.2</v>
      </c>
    </row>
    <row r="604" spans="1:9" x14ac:dyDescent="0.3">
      <c r="A604" s="2" t="s">
        <v>649</v>
      </c>
      <c r="B604" s="2" t="s">
        <v>62</v>
      </c>
      <c r="C604" s="2" t="s">
        <v>27</v>
      </c>
      <c r="D604" s="4">
        <v>23005.86</v>
      </c>
      <c r="E604" s="2">
        <v>1</v>
      </c>
      <c r="F604" s="4">
        <v>23005.86</v>
      </c>
      <c r="G604" s="3">
        <v>45491</v>
      </c>
      <c r="H604" s="2" t="s">
        <v>49</v>
      </c>
      <c r="I604" s="2">
        <v>4.8</v>
      </c>
    </row>
    <row r="605" spans="1:9" x14ac:dyDescent="0.3">
      <c r="A605" s="2" t="s">
        <v>650</v>
      </c>
      <c r="B605" s="2" t="s">
        <v>32</v>
      </c>
      <c r="C605" s="2" t="s">
        <v>17</v>
      </c>
      <c r="D605" s="4">
        <v>48580.6</v>
      </c>
      <c r="E605" s="2">
        <v>1</v>
      </c>
      <c r="F605" s="4">
        <v>48580.6</v>
      </c>
      <c r="G605" s="3">
        <v>45574</v>
      </c>
      <c r="H605" s="2" t="s">
        <v>18</v>
      </c>
      <c r="I605" s="2">
        <v>3</v>
      </c>
    </row>
    <row r="606" spans="1:9" x14ac:dyDescent="0.3">
      <c r="A606" s="2" t="s">
        <v>651</v>
      </c>
      <c r="B606" s="2" t="s">
        <v>20</v>
      </c>
      <c r="C606" s="2" t="s">
        <v>21</v>
      </c>
      <c r="D606" s="4">
        <v>10320.870000000001</v>
      </c>
      <c r="E606" s="2">
        <v>5</v>
      </c>
      <c r="F606" s="4">
        <v>51604.35</v>
      </c>
      <c r="G606" s="3">
        <v>45693</v>
      </c>
      <c r="H606" s="2" t="s">
        <v>30</v>
      </c>
      <c r="I606" s="2">
        <v>2.8</v>
      </c>
    </row>
    <row r="607" spans="1:9" x14ac:dyDescent="0.3">
      <c r="A607" s="2" t="s">
        <v>652</v>
      </c>
      <c r="B607" s="2" t="s">
        <v>26</v>
      </c>
      <c r="C607" s="2" t="s">
        <v>27</v>
      </c>
      <c r="D607" s="4">
        <v>43149.24</v>
      </c>
      <c r="E607" s="2">
        <v>1</v>
      </c>
      <c r="F607" s="4">
        <v>43149.24</v>
      </c>
      <c r="G607" s="3">
        <v>45479</v>
      </c>
      <c r="H607" s="2" t="s">
        <v>18</v>
      </c>
      <c r="I607" s="2">
        <v>1.9</v>
      </c>
    </row>
    <row r="608" spans="1:9" x14ac:dyDescent="0.3">
      <c r="A608" s="2" t="s">
        <v>653</v>
      </c>
      <c r="B608" s="2" t="s">
        <v>102</v>
      </c>
      <c r="C608" s="2" t="s">
        <v>13</v>
      </c>
      <c r="D608" s="4">
        <v>567.80999999999995</v>
      </c>
      <c r="E608" s="2">
        <v>4</v>
      </c>
      <c r="F608" s="4">
        <v>2271.2399999999998</v>
      </c>
      <c r="G608" s="3">
        <v>45674</v>
      </c>
      <c r="H608" s="2" t="s">
        <v>30</v>
      </c>
      <c r="I608" s="2">
        <v>4.5</v>
      </c>
    </row>
    <row r="609" spans="1:9" x14ac:dyDescent="0.3">
      <c r="A609" s="2" t="s">
        <v>654</v>
      </c>
      <c r="B609" s="2" t="s">
        <v>48</v>
      </c>
      <c r="C609" s="2" t="s">
        <v>13</v>
      </c>
      <c r="D609" s="4">
        <v>6705.43</v>
      </c>
      <c r="E609" s="2">
        <v>5</v>
      </c>
      <c r="F609" s="4">
        <v>33527.15</v>
      </c>
      <c r="G609" s="3">
        <v>45536</v>
      </c>
      <c r="H609" s="2" t="s">
        <v>30</v>
      </c>
      <c r="I609" s="2">
        <v>4.5</v>
      </c>
    </row>
    <row r="610" spans="1:9" x14ac:dyDescent="0.3">
      <c r="A610" s="2" t="s">
        <v>655</v>
      </c>
      <c r="B610" s="2" t="s">
        <v>56</v>
      </c>
      <c r="C610" s="2" t="s">
        <v>17</v>
      </c>
      <c r="D610" s="4">
        <v>29974.35</v>
      </c>
      <c r="E610" s="2">
        <v>5</v>
      </c>
      <c r="F610" s="4">
        <v>149871.75</v>
      </c>
      <c r="G610" s="3">
        <v>45658</v>
      </c>
      <c r="H610" s="2" t="s">
        <v>30</v>
      </c>
      <c r="I610" s="2">
        <v>3.1</v>
      </c>
    </row>
    <row r="611" spans="1:9" x14ac:dyDescent="0.3">
      <c r="A611" s="2" t="s">
        <v>656</v>
      </c>
      <c r="B611" s="2" t="s">
        <v>38</v>
      </c>
      <c r="C611" s="2" t="s">
        <v>24</v>
      </c>
      <c r="D611" s="4">
        <v>5739.3</v>
      </c>
      <c r="E611" s="2">
        <v>4</v>
      </c>
      <c r="F611" s="4">
        <v>22957.200000000001</v>
      </c>
      <c r="G611" s="3">
        <v>45488</v>
      </c>
      <c r="H611" s="2" t="s">
        <v>49</v>
      </c>
      <c r="I611" s="2">
        <v>4.5999999999999996</v>
      </c>
    </row>
    <row r="612" spans="1:9" x14ac:dyDescent="0.3">
      <c r="A612" s="2" t="s">
        <v>657</v>
      </c>
      <c r="B612" s="2" t="s">
        <v>16</v>
      </c>
      <c r="C612" s="2" t="s">
        <v>17</v>
      </c>
      <c r="D612" s="4">
        <v>21417.72</v>
      </c>
      <c r="E612" s="2">
        <v>4</v>
      </c>
      <c r="F612" s="4">
        <v>85670.88</v>
      </c>
      <c r="G612" s="3">
        <v>45493</v>
      </c>
      <c r="H612" s="2" t="s">
        <v>14</v>
      </c>
      <c r="I612" s="2">
        <v>4.5</v>
      </c>
    </row>
    <row r="613" spans="1:9" x14ac:dyDescent="0.3">
      <c r="A613" s="2" t="s">
        <v>658</v>
      </c>
      <c r="B613" s="2" t="s">
        <v>34</v>
      </c>
      <c r="C613" s="2" t="s">
        <v>27</v>
      </c>
      <c r="D613" s="4">
        <v>25404.68</v>
      </c>
      <c r="E613" s="2">
        <v>4</v>
      </c>
      <c r="F613" s="4">
        <v>101618.72</v>
      </c>
      <c r="G613" s="3">
        <v>45668</v>
      </c>
      <c r="H613" s="2" t="s">
        <v>49</v>
      </c>
      <c r="I613" s="2">
        <v>4.5999999999999996</v>
      </c>
    </row>
    <row r="614" spans="1:9" x14ac:dyDescent="0.3">
      <c r="A614" s="2" t="s">
        <v>659</v>
      </c>
      <c r="B614" s="2" t="s">
        <v>29</v>
      </c>
      <c r="C614" s="2" t="s">
        <v>27</v>
      </c>
      <c r="D614" s="4">
        <v>27582.01</v>
      </c>
      <c r="E614" s="2">
        <v>2</v>
      </c>
      <c r="F614" s="4">
        <v>55164.02</v>
      </c>
      <c r="G614" s="3">
        <v>45335</v>
      </c>
      <c r="H614" s="2" t="s">
        <v>14</v>
      </c>
      <c r="I614" s="2">
        <v>1.5</v>
      </c>
    </row>
    <row r="615" spans="1:9" x14ac:dyDescent="0.3">
      <c r="A615" s="2" t="s">
        <v>660</v>
      </c>
      <c r="B615" s="2" t="s">
        <v>62</v>
      </c>
      <c r="C615" s="2" t="s">
        <v>27</v>
      </c>
      <c r="D615" s="4">
        <v>23584.89</v>
      </c>
      <c r="E615" s="2">
        <v>3</v>
      </c>
      <c r="F615" s="4">
        <v>70754.67</v>
      </c>
      <c r="G615" s="3">
        <v>45480</v>
      </c>
      <c r="H615" s="2" t="s">
        <v>30</v>
      </c>
      <c r="I615" s="2">
        <v>4.0999999999999996</v>
      </c>
    </row>
    <row r="616" spans="1:9" x14ac:dyDescent="0.3">
      <c r="A616" s="2" t="s">
        <v>661</v>
      </c>
      <c r="B616" s="2" t="s">
        <v>12</v>
      </c>
      <c r="C616" s="2" t="s">
        <v>13</v>
      </c>
      <c r="D616" s="4">
        <v>24444.89</v>
      </c>
      <c r="E616" s="2">
        <v>3</v>
      </c>
      <c r="F616" s="4">
        <v>73334.67</v>
      </c>
      <c r="G616" s="3">
        <v>45533</v>
      </c>
      <c r="H616" s="2" t="s">
        <v>30</v>
      </c>
      <c r="I616" s="2">
        <v>1.2</v>
      </c>
    </row>
    <row r="617" spans="1:9" x14ac:dyDescent="0.3">
      <c r="A617" s="2" t="s">
        <v>662</v>
      </c>
      <c r="B617" s="2" t="s">
        <v>153</v>
      </c>
      <c r="C617" s="2" t="s">
        <v>17</v>
      </c>
      <c r="D617" s="4">
        <v>8080.22</v>
      </c>
      <c r="E617" s="2">
        <v>2</v>
      </c>
      <c r="F617" s="4">
        <v>16160.44</v>
      </c>
      <c r="G617" s="3">
        <v>45358</v>
      </c>
      <c r="H617" s="2" t="s">
        <v>14</v>
      </c>
      <c r="I617" s="2">
        <v>3.6</v>
      </c>
    </row>
    <row r="618" spans="1:9" x14ac:dyDescent="0.3">
      <c r="A618" s="2" t="s">
        <v>663</v>
      </c>
      <c r="B618" s="2" t="s">
        <v>42</v>
      </c>
      <c r="C618" s="2" t="s">
        <v>21</v>
      </c>
      <c r="D618" s="4">
        <v>27860.799999999999</v>
      </c>
      <c r="E618" s="2">
        <v>2</v>
      </c>
      <c r="F618" s="4">
        <v>55721.599999999999</v>
      </c>
      <c r="G618" s="3">
        <v>45487</v>
      </c>
      <c r="H618" s="2" t="s">
        <v>49</v>
      </c>
      <c r="I618" s="2">
        <v>2.6</v>
      </c>
    </row>
    <row r="619" spans="1:9" x14ac:dyDescent="0.3">
      <c r="A619" s="2" t="s">
        <v>664</v>
      </c>
      <c r="B619" s="2" t="s">
        <v>95</v>
      </c>
      <c r="C619" s="2" t="s">
        <v>13</v>
      </c>
      <c r="D619" s="4">
        <v>30468.47</v>
      </c>
      <c r="E619" s="2">
        <v>3</v>
      </c>
      <c r="F619" s="4">
        <v>91405.41</v>
      </c>
      <c r="G619" s="3">
        <v>45470</v>
      </c>
      <c r="H619" s="2" t="s">
        <v>49</v>
      </c>
      <c r="I619" s="2">
        <v>1.7</v>
      </c>
    </row>
    <row r="620" spans="1:9" x14ac:dyDescent="0.3">
      <c r="A620" s="2" t="s">
        <v>665</v>
      </c>
      <c r="B620" s="2" t="s">
        <v>42</v>
      </c>
      <c r="C620" s="2" t="s">
        <v>21</v>
      </c>
      <c r="D620" s="4">
        <v>7718.78</v>
      </c>
      <c r="E620" s="2">
        <v>1</v>
      </c>
      <c r="F620" s="4">
        <v>7718.78</v>
      </c>
      <c r="G620" s="3">
        <v>45654</v>
      </c>
      <c r="H620" s="2" t="s">
        <v>14</v>
      </c>
      <c r="I620" s="2">
        <v>1.1000000000000001</v>
      </c>
    </row>
    <row r="621" spans="1:9" x14ac:dyDescent="0.3">
      <c r="A621" s="2" t="s">
        <v>666</v>
      </c>
      <c r="B621" s="2" t="s">
        <v>20</v>
      </c>
      <c r="C621" s="2" t="s">
        <v>21</v>
      </c>
      <c r="D621" s="4">
        <v>34866.42</v>
      </c>
      <c r="E621" s="2">
        <v>1</v>
      </c>
      <c r="F621" s="4">
        <v>34866.42</v>
      </c>
      <c r="G621" s="3">
        <v>45644</v>
      </c>
      <c r="H621" s="2" t="s">
        <v>44</v>
      </c>
      <c r="I621" s="2">
        <v>3.6</v>
      </c>
    </row>
    <row r="622" spans="1:9" x14ac:dyDescent="0.3">
      <c r="A622" s="2" t="s">
        <v>667</v>
      </c>
      <c r="B622" s="2" t="s">
        <v>32</v>
      </c>
      <c r="C622" s="2" t="s">
        <v>17</v>
      </c>
      <c r="D622" s="4">
        <v>5369.5</v>
      </c>
      <c r="E622" s="2">
        <v>1</v>
      </c>
      <c r="F622" s="4">
        <v>5369.5</v>
      </c>
      <c r="G622" s="3">
        <v>45574</v>
      </c>
      <c r="H622" s="2" t="s">
        <v>44</v>
      </c>
      <c r="I622" s="2">
        <v>3.2</v>
      </c>
    </row>
    <row r="623" spans="1:9" x14ac:dyDescent="0.3">
      <c r="A623" s="2" t="s">
        <v>668</v>
      </c>
      <c r="B623" s="2" t="s">
        <v>40</v>
      </c>
      <c r="C623" s="2" t="s">
        <v>21</v>
      </c>
      <c r="D623" s="4">
        <v>18338.759999999998</v>
      </c>
      <c r="E623" s="2">
        <v>5</v>
      </c>
      <c r="F623" s="4">
        <v>91693.8</v>
      </c>
      <c r="G623" s="3">
        <v>45337</v>
      </c>
      <c r="H623" s="2" t="s">
        <v>30</v>
      </c>
      <c r="I623" s="2">
        <v>4</v>
      </c>
    </row>
    <row r="624" spans="1:9" x14ac:dyDescent="0.3">
      <c r="A624" s="2" t="s">
        <v>669</v>
      </c>
      <c r="B624" s="2" t="s">
        <v>84</v>
      </c>
      <c r="C624" s="2" t="s">
        <v>24</v>
      </c>
      <c r="D624" s="4">
        <v>48287.49</v>
      </c>
      <c r="E624" s="2">
        <v>4</v>
      </c>
      <c r="F624" s="4">
        <v>193149.96</v>
      </c>
      <c r="G624" s="3">
        <v>45624</v>
      </c>
      <c r="H624" s="2" t="s">
        <v>18</v>
      </c>
      <c r="I624" s="2">
        <v>1.1000000000000001</v>
      </c>
    </row>
    <row r="625" spans="1:9" x14ac:dyDescent="0.3">
      <c r="A625" s="2" t="s">
        <v>670</v>
      </c>
      <c r="B625" s="2" t="s">
        <v>56</v>
      </c>
      <c r="C625" s="2" t="s">
        <v>17</v>
      </c>
      <c r="D625" s="4">
        <v>18161.009999999998</v>
      </c>
      <c r="E625" s="2">
        <v>4</v>
      </c>
      <c r="F625" s="4">
        <v>72644.039999999994</v>
      </c>
      <c r="G625" s="3">
        <v>45486</v>
      </c>
      <c r="H625" s="2" t="s">
        <v>49</v>
      </c>
      <c r="I625" s="2">
        <v>2.2999999999999998</v>
      </c>
    </row>
    <row r="626" spans="1:9" x14ac:dyDescent="0.3">
      <c r="A626" s="2" t="s">
        <v>671</v>
      </c>
      <c r="B626" s="2" t="s">
        <v>16</v>
      </c>
      <c r="C626" s="2" t="s">
        <v>17</v>
      </c>
      <c r="D626" s="4">
        <v>21064.01</v>
      </c>
      <c r="E626" s="2">
        <v>3</v>
      </c>
      <c r="F626" s="4">
        <v>63192.03</v>
      </c>
      <c r="G626" s="3">
        <v>45487</v>
      </c>
      <c r="H626" s="2" t="s">
        <v>58</v>
      </c>
      <c r="I626" s="2">
        <v>1.9</v>
      </c>
    </row>
    <row r="627" spans="1:9" x14ac:dyDescent="0.3">
      <c r="A627" s="2" t="s">
        <v>672</v>
      </c>
      <c r="B627" s="2" t="s">
        <v>95</v>
      </c>
      <c r="C627" s="2" t="s">
        <v>13</v>
      </c>
      <c r="D627" s="4">
        <v>8598.2199999999993</v>
      </c>
      <c r="E627" s="2">
        <v>5</v>
      </c>
      <c r="F627" s="4">
        <v>42991.1</v>
      </c>
      <c r="G627" s="3">
        <v>45695</v>
      </c>
      <c r="H627" s="2" t="s">
        <v>18</v>
      </c>
      <c r="I627" s="2">
        <v>1.4</v>
      </c>
    </row>
    <row r="628" spans="1:9" x14ac:dyDescent="0.3">
      <c r="A628" s="2" t="s">
        <v>673</v>
      </c>
      <c r="B628" s="2" t="s">
        <v>23</v>
      </c>
      <c r="C628" s="2" t="s">
        <v>24</v>
      </c>
      <c r="D628" s="4">
        <v>27897.4</v>
      </c>
      <c r="E628" s="2">
        <v>2</v>
      </c>
      <c r="F628" s="4">
        <v>55794.8</v>
      </c>
      <c r="G628" s="3">
        <v>45601</v>
      </c>
      <c r="H628" s="2" t="s">
        <v>44</v>
      </c>
      <c r="I628" s="2">
        <v>1.8</v>
      </c>
    </row>
    <row r="629" spans="1:9" x14ac:dyDescent="0.3">
      <c r="A629" s="2" t="s">
        <v>674</v>
      </c>
      <c r="B629" s="2" t="s">
        <v>42</v>
      </c>
      <c r="C629" s="2" t="s">
        <v>21</v>
      </c>
      <c r="D629" s="4">
        <v>3153.16</v>
      </c>
      <c r="E629" s="2">
        <v>2</v>
      </c>
      <c r="F629" s="4">
        <v>6306.32</v>
      </c>
      <c r="G629" s="3">
        <v>45531</v>
      </c>
      <c r="H629" s="2" t="s">
        <v>58</v>
      </c>
      <c r="I629" s="2">
        <v>4.4000000000000004</v>
      </c>
    </row>
    <row r="630" spans="1:9" x14ac:dyDescent="0.3">
      <c r="A630" s="2" t="s">
        <v>675</v>
      </c>
      <c r="B630" s="2" t="s">
        <v>84</v>
      </c>
      <c r="C630" s="2" t="s">
        <v>24</v>
      </c>
      <c r="D630" s="4">
        <v>25634.9</v>
      </c>
      <c r="E630" s="2">
        <v>1</v>
      </c>
      <c r="F630" s="4">
        <v>25634.9</v>
      </c>
      <c r="G630" s="3">
        <v>45566</v>
      </c>
      <c r="H630" s="2" t="s">
        <v>58</v>
      </c>
      <c r="I630" s="2">
        <v>4.3</v>
      </c>
    </row>
    <row r="631" spans="1:9" x14ac:dyDescent="0.3">
      <c r="A631" s="2" t="s">
        <v>676</v>
      </c>
      <c r="B631" s="2" t="s">
        <v>46</v>
      </c>
      <c r="C631" s="2" t="s">
        <v>24</v>
      </c>
      <c r="D631" s="4">
        <v>9427.83</v>
      </c>
      <c r="E631" s="2">
        <v>3</v>
      </c>
      <c r="F631" s="4">
        <v>28283.49</v>
      </c>
      <c r="G631" s="3">
        <v>45457</v>
      </c>
      <c r="H631" s="2" t="s">
        <v>58</v>
      </c>
      <c r="I631" s="2">
        <v>4.2</v>
      </c>
    </row>
    <row r="632" spans="1:9" x14ac:dyDescent="0.3">
      <c r="A632" s="2" t="s">
        <v>677</v>
      </c>
      <c r="B632" s="2" t="s">
        <v>77</v>
      </c>
      <c r="C632" s="2" t="s">
        <v>21</v>
      </c>
      <c r="D632" s="4">
        <v>22564.13</v>
      </c>
      <c r="E632" s="2">
        <v>1</v>
      </c>
      <c r="F632" s="4">
        <v>22564.13</v>
      </c>
      <c r="G632" s="3">
        <v>45575</v>
      </c>
      <c r="H632" s="2" t="s">
        <v>30</v>
      </c>
      <c r="I632" s="2">
        <v>3.2</v>
      </c>
    </row>
    <row r="633" spans="1:9" x14ac:dyDescent="0.3">
      <c r="A633" s="2" t="s">
        <v>678</v>
      </c>
      <c r="B633" s="2" t="s">
        <v>32</v>
      </c>
      <c r="C633" s="2" t="s">
        <v>17</v>
      </c>
      <c r="D633" s="4">
        <v>47288.95</v>
      </c>
      <c r="E633" s="2">
        <v>1</v>
      </c>
      <c r="F633" s="4">
        <v>47288.95</v>
      </c>
      <c r="G633" s="3">
        <v>45667</v>
      </c>
      <c r="H633" s="2" t="s">
        <v>30</v>
      </c>
      <c r="I633" s="2">
        <v>3.1</v>
      </c>
    </row>
    <row r="634" spans="1:9" x14ac:dyDescent="0.3">
      <c r="A634" s="2" t="s">
        <v>679</v>
      </c>
      <c r="B634" s="2" t="s">
        <v>12</v>
      </c>
      <c r="C634" s="2" t="s">
        <v>13</v>
      </c>
      <c r="D634" s="4">
        <v>24537.79</v>
      </c>
      <c r="E634" s="2">
        <v>3</v>
      </c>
      <c r="F634" s="4">
        <v>73613.37</v>
      </c>
      <c r="G634" s="3">
        <v>45574</v>
      </c>
      <c r="H634" s="2" t="s">
        <v>49</v>
      </c>
      <c r="I634" s="2">
        <v>1.6</v>
      </c>
    </row>
    <row r="635" spans="1:9" x14ac:dyDescent="0.3">
      <c r="A635" s="2" t="s">
        <v>680</v>
      </c>
      <c r="B635" s="2" t="s">
        <v>23</v>
      </c>
      <c r="C635" s="2" t="s">
        <v>24</v>
      </c>
      <c r="D635" s="4">
        <v>22226.76</v>
      </c>
      <c r="E635" s="2">
        <v>5</v>
      </c>
      <c r="F635" s="4">
        <v>111133.8</v>
      </c>
      <c r="G635" s="3">
        <v>45458</v>
      </c>
      <c r="H635" s="2" t="s">
        <v>14</v>
      </c>
      <c r="I635" s="2">
        <v>4.7</v>
      </c>
    </row>
    <row r="636" spans="1:9" x14ac:dyDescent="0.3">
      <c r="A636" s="2" t="s">
        <v>681</v>
      </c>
      <c r="B636" s="2" t="s">
        <v>71</v>
      </c>
      <c r="C636" s="2" t="s">
        <v>21</v>
      </c>
      <c r="D636" s="4">
        <v>14103.34</v>
      </c>
      <c r="E636" s="2">
        <v>2</v>
      </c>
      <c r="F636" s="4">
        <v>28206.68</v>
      </c>
      <c r="G636" s="3">
        <v>45466</v>
      </c>
      <c r="H636" s="2" t="s">
        <v>44</v>
      </c>
      <c r="I636" s="2">
        <v>1.6</v>
      </c>
    </row>
    <row r="637" spans="1:9" x14ac:dyDescent="0.3">
      <c r="A637" s="2" t="s">
        <v>682</v>
      </c>
      <c r="B637" s="2" t="s">
        <v>122</v>
      </c>
      <c r="C637" s="2" t="s">
        <v>27</v>
      </c>
      <c r="D637" s="4">
        <v>19376.32</v>
      </c>
      <c r="E637" s="2">
        <v>1</v>
      </c>
      <c r="F637" s="4">
        <v>19376.32</v>
      </c>
      <c r="G637" s="3">
        <v>45557</v>
      </c>
      <c r="H637" s="2" t="s">
        <v>18</v>
      </c>
      <c r="I637" s="2">
        <v>4.5</v>
      </c>
    </row>
    <row r="638" spans="1:9" x14ac:dyDescent="0.3">
      <c r="A638" s="2" t="s">
        <v>683</v>
      </c>
      <c r="B638" s="2" t="s">
        <v>12</v>
      </c>
      <c r="C638" s="2" t="s">
        <v>13</v>
      </c>
      <c r="D638" s="4">
        <v>41619.15</v>
      </c>
      <c r="E638" s="2">
        <v>1</v>
      </c>
      <c r="F638" s="4">
        <v>41619.15</v>
      </c>
      <c r="G638" s="3">
        <v>45423</v>
      </c>
      <c r="H638" s="2" t="s">
        <v>14</v>
      </c>
      <c r="I638" s="2">
        <v>4.9000000000000004</v>
      </c>
    </row>
    <row r="639" spans="1:9" x14ac:dyDescent="0.3">
      <c r="A639" s="2" t="s">
        <v>684</v>
      </c>
      <c r="B639" s="2" t="s">
        <v>26</v>
      </c>
      <c r="C639" s="2" t="s">
        <v>27</v>
      </c>
      <c r="D639" s="4">
        <v>14084.61</v>
      </c>
      <c r="E639" s="2">
        <v>3</v>
      </c>
      <c r="F639" s="4">
        <v>42253.83</v>
      </c>
      <c r="G639" s="3">
        <v>45550</v>
      </c>
      <c r="H639" s="2" t="s">
        <v>30</v>
      </c>
      <c r="I639" s="2">
        <v>4.9000000000000004</v>
      </c>
    </row>
    <row r="640" spans="1:9" x14ac:dyDescent="0.3">
      <c r="A640" s="2" t="s">
        <v>685</v>
      </c>
      <c r="B640" s="2" t="s">
        <v>23</v>
      </c>
      <c r="C640" s="2" t="s">
        <v>24</v>
      </c>
      <c r="D640" s="4">
        <v>25935.66</v>
      </c>
      <c r="E640" s="2">
        <v>5</v>
      </c>
      <c r="F640" s="4">
        <v>129678.3</v>
      </c>
      <c r="G640" s="3">
        <v>45649</v>
      </c>
      <c r="H640" s="2" t="s">
        <v>14</v>
      </c>
      <c r="I640" s="2">
        <v>3.7</v>
      </c>
    </row>
    <row r="641" spans="1:9" x14ac:dyDescent="0.3">
      <c r="A641" s="2" t="s">
        <v>686</v>
      </c>
      <c r="B641" s="2" t="s">
        <v>23</v>
      </c>
      <c r="C641" s="2" t="s">
        <v>24</v>
      </c>
      <c r="D641" s="4">
        <v>30657.64</v>
      </c>
      <c r="E641" s="2">
        <v>5</v>
      </c>
      <c r="F641" s="4">
        <v>153288.20000000001</v>
      </c>
      <c r="G641" s="3">
        <v>45636</v>
      </c>
      <c r="H641" s="2" t="s">
        <v>58</v>
      </c>
      <c r="I641" s="2">
        <v>4.8</v>
      </c>
    </row>
    <row r="642" spans="1:9" x14ac:dyDescent="0.3">
      <c r="A642" s="2" t="s">
        <v>687</v>
      </c>
      <c r="B642" s="2" t="s">
        <v>153</v>
      </c>
      <c r="C642" s="2" t="s">
        <v>17</v>
      </c>
      <c r="D642" s="4">
        <v>13596.18</v>
      </c>
      <c r="E642" s="2">
        <v>3</v>
      </c>
      <c r="F642" s="4">
        <v>40788.54</v>
      </c>
      <c r="G642" s="3">
        <v>45479</v>
      </c>
      <c r="H642" s="2" t="s">
        <v>49</v>
      </c>
      <c r="I642" s="2">
        <v>2.9</v>
      </c>
    </row>
    <row r="643" spans="1:9" x14ac:dyDescent="0.3">
      <c r="A643" s="2" t="s">
        <v>688</v>
      </c>
      <c r="B643" s="2" t="s">
        <v>71</v>
      </c>
      <c r="C643" s="2" t="s">
        <v>21</v>
      </c>
      <c r="D643" s="4">
        <v>28379.75</v>
      </c>
      <c r="E643" s="2">
        <v>5</v>
      </c>
      <c r="F643" s="4">
        <v>141898.75</v>
      </c>
      <c r="G643" s="3">
        <v>45629</v>
      </c>
      <c r="H643" s="2" t="s">
        <v>44</v>
      </c>
      <c r="I643" s="2">
        <v>4.4000000000000004</v>
      </c>
    </row>
    <row r="644" spans="1:9" x14ac:dyDescent="0.3">
      <c r="A644" s="2" t="s">
        <v>689</v>
      </c>
      <c r="B644" s="2" t="s">
        <v>153</v>
      </c>
      <c r="C644" s="2" t="s">
        <v>17</v>
      </c>
      <c r="D644" s="4">
        <v>12422.09</v>
      </c>
      <c r="E644" s="2">
        <v>2</v>
      </c>
      <c r="F644" s="4">
        <v>24844.18</v>
      </c>
      <c r="G644" s="3">
        <v>45387</v>
      </c>
      <c r="H644" s="2" t="s">
        <v>44</v>
      </c>
      <c r="I644" s="2">
        <v>3.4</v>
      </c>
    </row>
    <row r="645" spans="1:9" x14ac:dyDescent="0.3">
      <c r="A645" s="2" t="s">
        <v>690</v>
      </c>
      <c r="B645" s="2" t="s">
        <v>77</v>
      </c>
      <c r="C645" s="2" t="s">
        <v>21</v>
      </c>
      <c r="D645" s="4">
        <v>18747.939999999999</v>
      </c>
      <c r="E645" s="2">
        <v>1</v>
      </c>
      <c r="F645" s="4">
        <v>18747.939999999999</v>
      </c>
      <c r="G645" s="3">
        <v>45596</v>
      </c>
      <c r="H645" s="2" t="s">
        <v>58</v>
      </c>
      <c r="I645" s="2">
        <v>2.2000000000000002</v>
      </c>
    </row>
    <row r="646" spans="1:9" x14ac:dyDescent="0.3">
      <c r="A646" s="2" t="s">
        <v>691</v>
      </c>
      <c r="B646" s="2" t="s">
        <v>23</v>
      </c>
      <c r="C646" s="2" t="s">
        <v>24</v>
      </c>
      <c r="D646" s="4">
        <v>35524.559999999998</v>
      </c>
      <c r="E646" s="2">
        <v>1</v>
      </c>
      <c r="F646" s="4">
        <v>35524.559999999998</v>
      </c>
      <c r="G646" s="3">
        <v>45512</v>
      </c>
      <c r="H646" s="2" t="s">
        <v>18</v>
      </c>
      <c r="I646" s="2">
        <v>2</v>
      </c>
    </row>
    <row r="647" spans="1:9" x14ac:dyDescent="0.3">
      <c r="A647" s="2" t="s">
        <v>692</v>
      </c>
      <c r="B647" s="2" t="s">
        <v>56</v>
      </c>
      <c r="C647" s="2" t="s">
        <v>17</v>
      </c>
      <c r="D647" s="4">
        <v>36454.629999999997</v>
      </c>
      <c r="E647" s="2">
        <v>1</v>
      </c>
      <c r="F647" s="4">
        <v>36454.629999999997</v>
      </c>
      <c r="G647" s="3">
        <v>45464</v>
      </c>
      <c r="H647" s="2" t="s">
        <v>18</v>
      </c>
      <c r="I647" s="2">
        <v>4.3</v>
      </c>
    </row>
    <row r="648" spans="1:9" x14ac:dyDescent="0.3">
      <c r="A648" s="2" t="s">
        <v>693</v>
      </c>
      <c r="B648" s="2" t="s">
        <v>73</v>
      </c>
      <c r="C648" s="2" t="s">
        <v>24</v>
      </c>
      <c r="D648" s="4">
        <v>23249.27</v>
      </c>
      <c r="E648" s="2">
        <v>3</v>
      </c>
      <c r="F648" s="4">
        <v>69747.81</v>
      </c>
      <c r="G648" s="3">
        <v>45563</v>
      </c>
      <c r="H648" s="2" t="s">
        <v>49</v>
      </c>
      <c r="I648" s="2">
        <v>2.2000000000000002</v>
      </c>
    </row>
    <row r="649" spans="1:9" x14ac:dyDescent="0.3">
      <c r="A649" s="2" t="s">
        <v>694</v>
      </c>
      <c r="B649" s="2" t="s">
        <v>77</v>
      </c>
      <c r="C649" s="2" t="s">
        <v>21</v>
      </c>
      <c r="D649" s="4">
        <v>48842.53</v>
      </c>
      <c r="E649" s="2">
        <v>1</v>
      </c>
      <c r="F649" s="4">
        <v>48842.53</v>
      </c>
      <c r="G649" s="3">
        <v>45424</v>
      </c>
      <c r="H649" s="2" t="s">
        <v>58</v>
      </c>
      <c r="I649" s="2">
        <v>2.7</v>
      </c>
    </row>
    <row r="650" spans="1:9" x14ac:dyDescent="0.3">
      <c r="A650" s="2" t="s">
        <v>695</v>
      </c>
      <c r="B650" s="2" t="s">
        <v>38</v>
      </c>
      <c r="C650" s="2" t="s">
        <v>24</v>
      </c>
      <c r="D650" s="4">
        <v>21881.01</v>
      </c>
      <c r="E650" s="2">
        <v>1</v>
      </c>
      <c r="F650" s="4">
        <v>21881.01</v>
      </c>
      <c r="G650" s="3">
        <v>45423</v>
      </c>
      <c r="H650" s="2" t="s">
        <v>30</v>
      </c>
      <c r="I650" s="2">
        <v>3.5</v>
      </c>
    </row>
    <row r="651" spans="1:9" x14ac:dyDescent="0.3">
      <c r="A651" s="2" t="s">
        <v>696</v>
      </c>
      <c r="B651" s="2" t="s">
        <v>12</v>
      </c>
      <c r="C651" s="2" t="s">
        <v>13</v>
      </c>
      <c r="D651" s="4">
        <v>38964.36</v>
      </c>
      <c r="E651" s="2">
        <v>5</v>
      </c>
      <c r="F651" s="4">
        <v>194821.8</v>
      </c>
      <c r="G651" s="3">
        <v>45594</v>
      </c>
      <c r="H651" s="2" t="s">
        <v>30</v>
      </c>
      <c r="I651" s="2">
        <v>3.9</v>
      </c>
    </row>
    <row r="652" spans="1:9" x14ac:dyDescent="0.3">
      <c r="A652" s="2" t="s">
        <v>697</v>
      </c>
      <c r="B652" s="2" t="s">
        <v>122</v>
      </c>
      <c r="C652" s="2" t="s">
        <v>27</v>
      </c>
      <c r="D652" s="4">
        <v>1435.38</v>
      </c>
      <c r="E652" s="2">
        <v>4</v>
      </c>
      <c r="F652" s="4">
        <v>5741.52</v>
      </c>
      <c r="G652" s="3">
        <v>45375</v>
      </c>
      <c r="H652" s="2" t="s">
        <v>18</v>
      </c>
      <c r="I652" s="2">
        <v>2</v>
      </c>
    </row>
    <row r="653" spans="1:9" x14ac:dyDescent="0.3">
      <c r="A653" s="2" t="s">
        <v>698</v>
      </c>
      <c r="B653" s="2" t="s">
        <v>73</v>
      </c>
      <c r="C653" s="2" t="s">
        <v>24</v>
      </c>
      <c r="D653" s="4">
        <v>2536.16</v>
      </c>
      <c r="E653" s="2">
        <v>5</v>
      </c>
      <c r="F653" s="4">
        <v>12680.8</v>
      </c>
      <c r="G653" s="3">
        <v>45430</v>
      </c>
      <c r="H653" s="2" t="s">
        <v>44</v>
      </c>
      <c r="I653" s="2">
        <v>1.8</v>
      </c>
    </row>
    <row r="654" spans="1:9" x14ac:dyDescent="0.3">
      <c r="A654" s="2" t="s">
        <v>699</v>
      </c>
      <c r="B654" s="2" t="s">
        <v>84</v>
      </c>
      <c r="C654" s="2" t="s">
        <v>24</v>
      </c>
      <c r="D654" s="4">
        <v>21992.38</v>
      </c>
      <c r="E654" s="2">
        <v>5</v>
      </c>
      <c r="F654" s="4">
        <v>109961.9</v>
      </c>
      <c r="G654" s="3">
        <v>45501</v>
      </c>
      <c r="H654" s="2" t="s">
        <v>14</v>
      </c>
      <c r="I654" s="2">
        <v>3.9</v>
      </c>
    </row>
    <row r="655" spans="1:9" x14ac:dyDescent="0.3">
      <c r="A655" s="2" t="s">
        <v>700</v>
      </c>
      <c r="B655" s="2" t="s">
        <v>42</v>
      </c>
      <c r="C655" s="2" t="s">
        <v>21</v>
      </c>
      <c r="D655" s="4">
        <v>20194.2</v>
      </c>
      <c r="E655" s="2">
        <v>2</v>
      </c>
      <c r="F655" s="4">
        <v>40388.400000000001</v>
      </c>
      <c r="G655" s="3">
        <v>45581</v>
      </c>
      <c r="H655" s="2" t="s">
        <v>14</v>
      </c>
      <c r="I655" s="2">
        <v>3.1</v>
      </c>
    </row>
    <row r="656" spans="1:9" x14ac:dyDescent="0.3">
      <c r="A656" s="2" t="s">
        <v>701</v>
      </c>
      <c r="B656" s="2" t="s">
        <v>36</v>
      </c>
      <c r="C656" s="2" t="s">
        <v>17</v>
      </c>
      <c r="D656" s="4">
        <v>18789.810000000001</v>
      </c>
      <c r="E656" s="2">
        <v>3</v>
      </c>
      <c r="F656" s="4">
        <v>56369.43</v>
      </c>
      <c r="G656" s="3">
        <v>45407</v>
      </c>
      <c r="H656" s="2" t="s">
        <v>14</v>
      </c>
      <c r="I656" s="2">
        <v>2</v>
      </c>
    </row>
    <row r="657" spans="1:9" x14ac:dyDescent="0.3">
      <c r="A657" s="2" t="s">
        <v>702</v>
      </c>
      <c r="B657" s="2" t="s">
        <v>73</v>
      </c>
      <c r="C657" s="2" t="s">
        <v>24</v>
      </c>
      <c r="D657" s="4">
        <v>33027.629999999997</v>
      </c>
      <c r="E657" s="2">
        <v>2</v>
      </c>
      <c r="F657" s="4">
        <v>66055.259999999995</v>
      </c>
      <c r="G657" s="3">
        <v>45535</v>
      </c>
      <c r="H657" s="2" t="s">
        <v>44</v>
      </c>
      <c r="I657" s="2">
        <v>1.5</v>
      </c>
    </row>
    <row r="658" spans="1:9" x14ac:dyDescent="0.3">
      <c r="A658" s="2" t="s">
        <v>703</v>
      </c>
      <c r="B658" s="2" t="s">
        <v>77</v>
      </c>
      <c r="C658" s="2" t="s">
        <v>21</v>
      </c>
      <c r="D658" s="4">
        <v>44953.24</v>
      </c>
      <c r="E658" s="2">
        <v>5</v>
      </c>
      <c r="F658" s="4">
        <v>224766.2</v>
      </c>
      <c r="G658" s="3">
        <v>45500</v>
      </c>
      <c r="H658" s="2" t="s">
        <v>30</v>
      </c>
      <c r="I658" s="2">
        <v>1.1000000000000001</v>
      </c>
    </row>
    <row r="659" spans="1:9" x14ac:dyDescent="0.3">
      <c r="A659" s="2" t="s">
        <v>704</v>
      </c>
      <c r="B659" s="2" t="s">
        <v>36</v>
      </c>
      <c r="C659" s="2" t="s">
        <v>17</v>
      </c>
      <c r="D659" s="4">
        <v>47047.23</v>
      </c>
      <c r="E659" s="2">
        <v>5</v>
      </c>
      <c r="F659" s="4">
        <v>235236.15</v>
      </c>
      <c r="G659" s="3">
        <v>45613</v>
      </c>
      <c r="H659" s="2" t="s">
        <v>30</v>
      </c>
      <c r="I659" s="2">
        <v>3</v>
      </c>
    </row>
    <row r="660" spans="1:9" x14ac:dyDescent="0.3">
      <c r="A660" s="2" t="s">
        <v>705</v>
      </c>
      <c r="B660" s="2" t="s">
        <v>84</v>
      </c>
      <c r="C660" s="2" t="s">
        <v>24</v>
      </c>
      <c r="D660" s="4">
        <v>34358.78</v>
      </c>
      <c r="E660" s="2">
        <v>3</v>
      </c>
      <c r="F660" s="4">
        <v>103076.34</v>
      </c>
      <c r="G660" s="3">
        <v>45563</v>
      </c>
      <c r="H660" s="2" t="s">
        <v>58</v>
      </c>
      <c r="I660" s="2">
        <v>2.4</v>
      </c>
    </row>
    <row r="661" spans="1:9" x14ac:dyDescent="0.3">
      <c r="A661" s="2" t="s">
        <v>706</v>
      </c>
      <c r="B661" s="2" t="s">
        <v>42</v>
      </c>
      <c r="C661" s="2" t="s">
        <v>21</v>
      </c>
      <c r="D661" s="4">
        <v>12779.59</v>
      </c>
      <c r="E661" s="2">
        <v>5</v>
      </c>
      <c r="F661" s="4">
        <v>63897.95</v>
      </c>
      <c r="G661" s="3">
        <v>45620</v>
      </c>
      <c r="H661" s="2" t="s">
        <v>49</v>
      </c>
      <c r="I661" s="2">
        <v>2.8</v>
      </c>
    </row>
    <row r="662" spans="1:9" x14ac:dyDescent="0.3">
      <c r="A662" s="2" t="s">
        <v>707</v>
      </c>
      <c r="B662" s="2" t="s">
        <v>52</v>
      </c>
      <c r="C662" s="2" t="s">
        <v>13</v>
      </c>
      <c r="D662" s="4">
        <v>30878.47</v>
      </c>
      <c r="E662" s="2">
        <v>5</v>
      </c>
      <c r="F662" s="4">
        <v>154392.35</v>
      </c>
      <c r="G662" s="3">
        <v>45484</v>
      </c>
      <c r="H662" s="2" t="s">
        <v>18</v>
      </c>
      <c r="I662" s="2">
        <v>2.5</v>
      </c>
    </row>
    <row r="663" spans="1:9" x14ac:dyDescent="0.3">
      <c r="A663" s="2" t="s">
        <v>708</v>
      </c>
      <c r="B663" s="2" t="s">
        <v>20</v>
      </c>
      <c r="C663" s="2" t="s">
        <v>21</v>
      </c>
      <c r="D663" s="4">
        <v>24227.24</v>
      </c>
      <c r="E663" s="2">
        <v>1</v>
      </c>
      <c r="F663" s="4">
        <v>24227.24</v>
      </c>
      <c r="G663" s="3">
        <v>45352</v>
      </c>
      <c r="H663" s="2" t="s">
        <v>14</v>
      </c>
      <c r="I663" s="2">
        <v>2.7</v>
      </c>
    </row>
    <row r="664" spans="1:9" x14ac:dyDescent="0.3">
      <c r="A664" s="2" t="s">
        <v>709</v>
      </c>
      <c r="B664" s="2" t="s">
        <v>16</v>
      </c>
      <c r="C664" s="2" t="s">
        <v>17</v>
      </c>
      <c r="D664" s="4">
        <v>15282.31</v>
      </c>
      <c r="E664" s="2">
        <v>4</v>
      </c>
      <c r="F664" s="4">
        <v>61129.24</v>
      </c>
      <c r="G664" s="3">
        <v>45460</v>
      </c>
      <c r="H664" s="2" t="s">
        <v>58</v>
      </c>
      <c r="I664" s="2">
        <v>2.1</v>
      </c>
    </row>
    <row r="665" spans="1:9" x14ac:dyDescent="0.3">
      <c r="A665" s="2" t="s">
        <v>710</v>
      </c>
      <c r="B665" s="2" t="s">
        <v>42</v>
      </c>
      <c r="C665" s="2" t="s">
        <v>21</v>
      </c>
      <c r="D665" s="4">
        <v>46933.96</v>
      </c>
      <c r="E665" s="2">
        <v>1</v>
      </c>
      <c r="F665" s="4">
        <v>46933.96</v>
      </c>
      <c r="G665" s="3">
        <v>45446</v>
      </c>
      <c r="H665" s="2" t="s">
        <v>14</v>
      </c>
      <c r="I665" s="2">
        <v>2.5</v>
      </c>
    </row>
    <row r="666" spans="1:9" x14ac:dyDescent="0.3">
      <c r="A666" s="2" t="s">
        <v>711</v>
      </c>
      <c r="B666" s="2" t="s">
        <v>40</v>
      </c>
      <c r="C666" s="2" t="s">
        <v>21</v>
      </c>
      <c r="D666" s="4">
        <v>14622.12</v>
      </c>
      <c r="E666" s="2">
        <v>1</v>
      </c>
      <c r="F666" s="4">
        <v>14622.12</v>
      </c>
      <c r="G666" s="3">
        <v>45659</v>
      </c>
      <c r="H666" s="2" t="s">
        <v>49</v>
      </c>
      <c r="I666" s="2">
        <v>4.9000000000000004</v>
      </c>
    </row>
    <row r="667" spans="1:9" x14ac:dyDescent="0.3">
      <c r="A667" s="2" t="s">
        <v>712</v>
      </c>
      <c r="B667" s="2" t="s">
        <v>52</v>
      </c>
      <c r="C667" s="2" t="s">
        <v>13</v>
      </c>
      <c r="D667" s="4">
        <v>34830.28</v>
      </c>
      <c r="E667" s="2">
        <v>4</v>
      </c>
      <c r="F667" s="4">
        <v>139321.12</v>
      </c>
      <c r="G667" s="3">
        <v>45609</v>
      </c>
      <c r="H667" s="2" t="s">
        <v>49</v>
      </c>
      <c r="I667" s="2">
        <v>2.9</v>
      </c>
    </row>
    <row r="668" spans="1:9" x14ac:dyDescent="0.3">
      <c r="A668" s="2" t="s">
        <v>713</v>
      </c>
      <c r="B668" s="2" t="s">
        <v>40</v>
      </c>
      <c r="C668" s="2" t="s">
        <v>21</v>
      </c>
      <c r="D668" s="4">
        <v>43118.19</v>
      </c>
      <c r="E668" s="2">
        <v>5</v>
      </c>
      <c r="F668" s="4">
        <v>215590.95</v>
      </c>
      <c r="G668" s="3">
        <v>45674</v>
      </c>
      <c r="H668" s="2" t="s">
        <v>58</v>
      </c>
      <c r="I668" s="2">
        <v>4</v>
      </c>
    </row>
    <row r="669" spans="1:9" x14ac:dyDescent="0.3">
      <c r="A669" s="2" t="s">
        <v>714</v>
      </c>
      <c r="B669" s="2" t="s">
        <v>52</v>
      </c>
      <c r="C669" s="2" t="s">
        <v>13</v>
      </c>
      <c r="D669" s="4">
        <v>29885.360000000001</v>
      </c>
      <c r="E669" s="2">
        <v>3</v>
      </c>
      <c r="F669" s="4">
        <v>89656.08</v>
      </c>
      <c r="G669" s="3">
        <v>45416</v>
      </c>
      <c r="H669" s="2" t="s">
        <v>14</v>
      </c>
      <c r="I669" s="2">
        <v>4.0999999999999996</v>
      </c>
    </row>
    <row r="670" spans="1:9" x14ac:dyDescent="0.3">
      <c r="A670" s="2" t="s">
        <v>715</v>
      </c>
      <c r="B670" s="2" t="s">
        <v>12</v>
      </c>
      <c r="C670" s="2" t="s">
        <v>13</v>
      </c>
      <c r="D670" s="4">
        <v>7728.33</v>
      </c>
      <c r="E670" s="2">
        <v>5</v>
      </c>
      <c r="F670" s="4">
        <v>38641.65</v>
      </c>
      <c r="G670" s="3">
        <v>45471</v>
      </c>
      <c r="H670" s="2" t="s">
        <v>44</v>
      </c>
      <c r="I670" s="2">
        <v>3.9</v>
      </c>
    </row>
    <row r="671" spans="1:9" x14ac:dyDescent="0.3">
      <c r="A671" s="2" t="s">
        <v>716</v>
      </c>
      <c r="B671" s="2" t="s">
        <v>26</v>
      </c>
      <c r="C671" s="2" t="s">
        <v>27</v>
      </c>
      <c r="D671" s="4">
        <v>36096.74</v>
      </c>
      <c r="E671" s="2">
        <v>5</v>
      </c>
      <c r="F671" s="4">
        <v>180483.7</v>
      </c>
      <c r="G671" s="3">
        <v>45679</v>
      </c>
      <c r="H671" s="2" t="s">
        <v>58</v>
      </c>
      <c r="I671" s="2">
        <v>1.8</v>
      </c>
    </row>
    <row r="672" spans="1:9" x14ac:dyDescent="0.3">
      <c r="A672" s="2" t="s">
        <v>717</v>
      </c>
      <c r="B672" s="2" t="s">
        <v>56</v>
      </c>
      <c r="C672" s="2" t="s">
        <v>17</v>
      </c>
      <c r="D672" s="4">
        <v>19275.66</v>
      </c>
      <c r="E672" s="2">
        <v>4</v>
      </c>
      <c r="F672" s="4">
        <v>77102.64</v>
      </c>
      <c r="G672" s="3">
        <v>45399</v>
      </c>
      <c r="H672" s="2" t="s">
        <v>58</v>
      </c>
      <c r="I672" s="2">
        <v>1.8</v>
      </c>
    </row>
    <row r="673" spans="1:9" x14ac:dyDescent="0.3">
      <c r="A673" s="2" t="s">
        <v>718</v>
      </c>
      <c r="B673" s="2" t="s">
        <v>122</v>
      </c>
      <c r="C673" s="2" t="s">
        <v>27</v>
      </c>
      <c r="D673" s="4">
        <v>15387.59</v>
      </c>
      <c r="E673" s="2">
        <v>4</v>
      </c>
      <c r="F673" s="4">
        <v>61550.36</v>
      </c>
      <c r="G673" s="3">
        <v>45558</v>
      </c>
      <c r="H673" s="2" t="s">
        <v>30</v>
      </c>
      <c r="I673" s="2">
        <v>1</v>
      </c>
    </row>
    <row r="674" spans="1:9" x14ac:dyDescent="0.3">
      <c r="A674" s="2" t="s">
        <v>719</v>
      </c>
      <c r="B674" s="2" t="s">
        <v>46</v>
      </c>
      <c r="C674" s="2" t="s">
        <v>24</v>
      </c>
      <c r="D674" s="4">
        <v>23806.639999999999</v>
      </c>
      <c r="E674" s="2">
        <v>1</v>
      </c>
      <c r="F674" s="4">
        <v>23806.639999999999</v>
      </c>
      <c r="G674" s="3">
        <v>45353</v>
      </c>
      <c r="H674" s="2" t="s">
        <v>14</v>
      </c>
      <c r="I674" s="2">
        <v>2.5</v>
      </c>
    </row>
    <row r="675" spans="1:9" x14ac:dyDescent="0.3">
      <c r="A675" s="2" t="s">
        <v>720</v>
      </c>
      <c r="B675" s="2" t="s">
        <v>71</v>
      </c>
      <c r="C675" s="2" t="s">
        <v>21</v>
      </c>
      <c r="D675" s="4">
        <v>28568.97</v>
      </c>
      <c r="E675" s="2">
        <v>1</v>
      </c>
      <c r="F675" s="4">
        <v>28568.97</v>
      </c>
      <c r="G675" s="3">
        <v>45475</v>
      </c>
      <c r="H675" s="2" t="s">
        <v>14</v>
      </c>
      <c r="I675" s="2">
        <v>1</v>
      </c>
    </row>
    <row r="676" spans="1:9" x14ac:dyDescent="0.3">
      <c r="A676" s="2" t="s">
        <v>721</v>
      </c>
      <c r="B676" s="2" t="s">
        <v>73</v>
      </c>
      <c r="C676" s="2" t="s">
        <v>24</v>
      </c>
      <c r="D676" s="4">
        <v>40753.519999999997</v>
      </c>
      <c r="E676" s="2">
        <v>1</v>
      </c>
      <c r="F676" s="4">
        <v>40753.519999999997</v>
      </c>
      <c r="G676" s="3">
        <v>45352</v>
      </c>
      <c r="H676" s="2" t="s">
        <v>14</v>
      </c>
      <c r="I676" s="2">
        <v>4.2</v>
      </c>
    </row>
    <row r="677" spans="1:9" x14ac:dyDescent="0.3">
      <c r="A677" s="2" t="s">
        <v>722</v>
      </c>
      <c r="B677" s="2" t="s">
        <v>38</v>
      </c>
      <c r="C677" s="2" t="s">
        <v>24</v>
      </c>
      <c r="D677" s="4">
        <v>38571.81</v>
      </c>
      <c r="E677" s="2">
        <v>4</v>
      </c>
      <c r="F677" s="4">
        <v>154287.24</v>
      </c>
      <c r="G677" s="3">
        <v>45367</v>
      </c>
      <c r="H677" s="2" t="s">
        <v>44</v>
      </c>
      <c r="I677" s="2">
        <v>1.2</v>
      </c>
    </row>
    <row r="678" spans="1:9" x14ac:dyDescent="0.3">
      <c r="A678" s="2" t="s">
        <v>723</v>
      </c>
      <c r="B678" s="2" t="s">
        <v>46</v>
      </c>
      <c r="C678" s="2" t="s">
        <v>24</v>
      </c>
      <c r="D678" s="4">
        <v>25161.91</v>
      </c>
      <c r="E678" s="2">
        <v>5</v>
      </c>
      <c r="F678" s="4">
        <v>125809.55</v>
      </c>
      <c r="G678" s="3">
        <v>45416</v>
      </c>
      <c r="H678" s="2" t="s">
        <v>30</v>
      </c>
      <c r="I678" s="2">
        <v>3.4</v>
      </c>
    </row>
    <row r="679" spans="1:9" x14ac:dyDescent="0.3">
      <c r="A679" s="2" t="s">
        <v>724</v>
      </c>
      <c r="B679" s="2" t="s">
        <v>40</v>
      </c>
      <c r="C679" s="2" t="s">
        <v>21</v>
      </c>
      <c r="D679" s="4">
        <v>12124.19</v>
      </c>
      <c r="E679" s="2">
        <v>3</v>
      </c>
      <c r="F679" s="4">
        <v>36372.57</v>
      </c>
      <c r="G679" s="3">
        <v>45617</v>
      </c>
      <c r="H679" s="2" t="s">
        <v>14</v>
      </c>
      <c r="I679" s="2">
        <v>4.7</v>
      </c>
    </row>
    <row r="680" spans="1:9" x14ac:dyDescent="0.3">
      <c r="A680" s="2" t="s">
        <v>725</v>
      </c>
      <c r="B680" s="2" t="s">
        <v>12</v>
      </c>
      <c r="C680" s="2" t="s">
        <v>13</v>
      </c>
      <c r="D680" s="4">
        <v>2013.64</v>
      </c>
      <c r="E680" s="2">
        <v>3</v>
      </c>
      <c r="F680" s="4">
        <v>6040.92</v>
      </c>
      <c r="G680" s="3">
        <v>45364</v>
      </c>
      <c r="H680" s="2" t="s">
        <v>18</v>
      </c>
      <c r="I680" s="2">
        <v>3.8</v>
      </c>
    </row>
    <row r="681" spans="1:9" x14ac:dyDescent="0.3">
      <c r="A681" s="2" t="s">
        <v>726</v>
      </c>
      <c r="B681" s="2" t="s">
        <v>62</v>
      </c>
      <c r="C681" s="2" t="s">
        <v>27</v>
      </c>
      <c r="D681" s="4">
        <v>6002.25</v>
      </c>
      <c r="E681" s="2">
        <v>3</v>
      </c>
      <c r="F681" s="4">
        <v>18006.75</v>
      </c>
      <c r="G681" s="3">
        <v>45569</v>
      </c>
      <c r="H681" s="2" t="s">
        <v>44</v>
      </c>
      <c r="I681" s="2">
        <v>3.5</v>
      </c>
    </row>
    <row r="682" spans="1:9" x14ac:dyDescent="0.3">
      <c r="A682" s="2" t="s">
        <v>727</v>
      </c>
      <c r="B682" s="2" t="s">
        <v>102</v>
      </c>
      <c r="C682" s="2" t="s">
        <v>13</v>
      </c>
      <c r="D682" s="4">
        <v>31332.42</v>
      </c>
      <c r="E682" s="2">
        <v>4</v>
      </c>
      <c r="F682" s="4">
        <v>125329.68</v>
      </c>
      <c r="G682" s="3">
        <v>45543</v>
      </c>
      <c r="H682" s="2" t="s">
        <v>49</v>
      </c>
      <c r="I682" s="2">
        <v>1.4</v>
      </c>
    </row>
    <row r="683" spans="1:9" x14ac:dyDescent="0.3">
      <c r="A683" s="2" t="s">
        <v>728</v>
      </c>
      <c r="B683" s="2" t="s">
        <v>62</v>
      </c>
      <c r="C683" s="2" t="s">
        <v>27</v>
      </c>
      <c r="D683" s="4">
        <v>17539.189999999999</v>
      </c>
      <c r="E683" s="2">
        <v>1</v>
      </c>
      <c r="F683" s="4">
        <v>17539.189999999999</v>
      </c>
      <c r="G683" s="3">
        <v>45480</v>
      </c>
      <c r="H683" s="2" t="s">
        <v>30</v>
      </c>
      <c r="I683" s="2">
        <v>3.9</v>
      </c>
    </row>
    <row r="684" spans="1:9" x14ac:dyDescent="0.3">
      <c r="A684" s="2" t="s">
        <v>729</v>
      </c>
      <c r="B684" s="2" t="s">
        <v>95</v>
      </c>
      <c r="C684" s="2" t="s">
        <v>13</v>
      </c>
      <c r="D684" s="4">
        <v>14865.47</v>
      </c>
      <c r="E684" s="2">
        <v>2</v>
      </c>
      <c r="F684" s="4">
        <v>29730.94</v>
      </c>
      <c r="G684" s="3">
        <v>45527</v>
      </c>
      <c r="H684" s="2" t="s">
        <v>18</v>
      </c>
      <c r="I684" s="2">
        <v>1.6</v>
      </c>
    </row>
    <row r="685" spans="1:9" x14ac:dyDescent="0.3">
      <c r="A685" s="2" t="s">
        <v>730</v>
      </c>
      <c r="B685" s="2" t="s">
        <v>153</v>
      </c>
      <c r="C685" s="2" t="s">
        <v>17</v>
      </c>
      <c r="D685" s="4">
        <v>48130.6</v>
      </c>
      <c r="E685" s="2">
        <v>5</v>
      </c>
      <c r="F685" s="4">
        <v>240653</v>
      </c>
      <c r="G685" s="3">
        <v>45619</v>
      </c>
      <c r="H685" s="2" t="s">
        <v>18</v>
      </c>
      <c r="I685" s="2">
        <v>4</v>
      </c>
    </row>
    <row r="686" spans="1:9" x14ac:dyDescent="0.3">
      <c r="A686" s="2" t="s">
        <v>731</v>
      </c>
      <c r="B686" s="2" t="s">
        <v>12</v>
      </c>
      <c r="C686" s="2" t="s">
        <v>13</v>
      </c>
      <c r="D686" s="4">
        <v>8970.27</v>
      </c>
      <c r="E686" s="2">
        <v>3</v>
      </c>
      <c r="F686" s="4">
        <v>26910.81</v>
      </c>
      <c r="G686" s="3">
        <v>45464</v>
      </c>
      <c r="H686" s="2" t="s">
        <v>44</v>
      </c>
      <c r="I686" s="2">
        <v>1.1000000000000001</v>
      </c>
    </row>
    <row r="687" spans="1:9" x14ac:dyDescent="0.3">
      <c r="A687" s="2" t="s">
        <v>732</v>
      </c>
      <c r="B687" s="2" t="s">
        <v>84</v>
      </c>
      <c r="C687" s="2" t="s">
        <v>24</v>
      </c>
      <c r="D687" s="4">
        <v>14359.73</v>
      </c>
      <c r="E687" s="2">
        <v>2</v>
      </c>
      <c r="F687" s="4">
        <v>28719.46</v>
      </c>
      <c r="G687" s="3">
        <v>45465</v>
      </c>
      <c r="H687" s="2" t="s">
        <v>18</v>
      </c>
      <c r="I687" s="2">
        <v>4.4000000000000004</v>
      </c>
    </row>
    <row r="688" spans="1:9" x14ac:dyDescent="0.3">
      <c r="A688" s="2" t="s">
        <v>733</v>
      </c>
      <c r="B688" s="2" t="s">
        <v>40</v>
      </c>
      <c r="C688" s="2" t="s">
        <v>21</v>
      </c>
      <c r="D688" s="4">
        <v>17009.73</v>
      </c>
      <c r="E688" s="2">
        <v>4</v>
      </c>
      <c r="F688" s="4">
        <v>68038.92</v>
      </c>
      <c r="G688" s="3">
        <v>45608</v>
      </c>
      <c r="H688" s="2" t="s">
        <v>14</v>
      </c>
      <c r="I688" s="2">
        <v>3.7</v>
      </c>
    </row>
    <row r="689" spans="1:9" x14ac:dyDescent="0.3">
      <c r="A689" s="2" t="s">
        <v>734</v>
      </c>
      <c r="B689" s="2" t="s">
        <v>56</v>
      </c>
      <c r="C689" s="2" t="s">
        <v>17</v>
      </c>
      <c r="D689" s="4">
        <v>10385.24</v>
      </c>
      <c r="E689" s="2">
        <v>2</v>
      </c>
      <c r="F689" s="4">
        <v>20770.48</v>
      </c>
      <c r="G689" s="3">
        <v>45373</v>
      </c>
      <c r="H689" s="2" t="s">
        <v>18</v>
      </c>
      <c r="I689" s="2">
        <v>4.7</v>
      </c>
    </row>
    <row r="690" spans="1:9" x14ac:dyDescent="0.3">
      <c r="A690" s="2" t="s">
        <v>735</v>
      </c>
      <c r="B690" s="2" t="s">
        <v>38</v>
      </c>
      <c r="C690" s="2" t="s">
        <v>24</v>
      </c>
      <c r="D690" s="4">
        <v>28261.1</v>
      </c>
      <c r="E690" s="2">
        <v>2</v>
      </c>
      <c r="F690" s="4">
        <v>56522.2</v>
      </c>
      <c r="G690" s="3">
        <v>45683</v>
      </c>
      <c r="H690" s="2" t="s">
        <v>30</v>
      </c>
      <c r="I690" s="2">
        <v>4.3</v>
      </c>
    </row>
    <row r="691" spans="1:9" x14ac:dyDescent="0.3">
      <c r="A691" s="2" t="s">
        <v>736</v>
      </c>
      <c r="B691" s="2" t="s">
        <v>16</v>
      </c>
      <c r="C691" s="2" t="s">
        <v>17</v>
      </c>
      <c r="D691" s="4">
        <v>23320.94</v>
      </c>
      <c r="E691" s="2">
        <v>2</v>
      </c>
      <c r="F691" s="4">
        <v>46641.88</v>
      </c>
      <c r="G691" s="3">
        <v>45414</v>
      </c>
      <c r="H691" s="2" t="s">
        <v>30</v>
      </c>
      <c r="I691" s="2">
        <v>3.2</v>
      </c>
    </row>
    <row r="692" spans="1:9" x14ac:dyDescent="0.3">
      <c r="A692" s="2" t="s">
        <v>737</v>
      </c>
      <c r="B692" s="2" t="s">
        <v>56</v>
      </c>
      <c r="C692" s="2" t="s">
        <v>17</v>
      </c>
      <c r="D692" s="4">
        <v>16038</v>
      </c>
      <c r="E692" s="2">
        <v>5</v>
      </c>
      <c r="F692" s="4">
        <v>80190</v>
      </c>
      <c r="G692" s="3">
        <v>45646</v>
      </c>
      <c r="H692" s="2" t="s">
        <v>49</v>
      </c>
      <c r="I692" s="2">
        <v>2.2999999999999998</v>
      </c>
    </row>
    <row r="693" spans="1:9" x14ac:dyDescent="0.3">
      <c r="A693" s="2" t="s">
        <v>738</v>
      </c>
      <c r="B693" s="2" t="s">
        <v>32</v>
      </c>
      <c r="C693" s="2" t="s">
        <v>17</v>
      </c>
      <c r="D693" s="4">
        <v>43719.71</v>
      </c>
      <c r="E693" s="2">
        <v>5</v>
      </c>
      <c r="F693" s="4">
        <v>218598.55</v>
      </c>
      <c r="G693" s="3">
        <v>45608</v>
      </c>
      <c r="H693" s="2" t="s">
        <v>18</v>
      </c>
      <c r="I693" s="2">
        <v>3.4</v>
      </c>
    </row>
    <row r="694" spans="1:9" x14ac:dyDescent="0.3">
      <c r="A694" s="2" t="s">
        <v>739</v>
      </c>
      <c r="B694" s="2" t="s">
        <v>52</v>
      </c>
      <c r="C694" s="2" t="s">
        <v>13</v>
      </c>
      <c r="D694" s="4">
        <v>19669.48</v>
      </c>
      <c r="E694" s="2">
        <v>2</v>
      </c>
      <c r="F694" s="4">
        <v>39338.959999999999</v>
      </c>
      <c r="G694" s="3">
        <v>45429</v>
      </c>
      <c r="H694" s="2" t="s">
        <v>30</v>
      </c>
      <c r="I694" s="2">
        <v>2</v>
      </c>
    </row>
    <row r="695" spans="1:9" x14ac:dyDescent="0.3">
      <c r="A695" s="2" t="s">
        <v>740</v>
      </c>
      <c r="B695" s="2" t="s">
        <v>42</v>
      </c>
      <c r="C695" s="2" t="s">
        <v>21</v>
      </c>
      <c r="D695" s="4">
        <v>27396.01</v>
      </c>
      <c r="E695" s="2">
        <v>1</v>
      </c>
      <c r="F695" s="4">
        <v>27396.01</v>
      </c>
      <c r="G695" s="3">
        <v>45371</v>
      </c>
      <c r="H695" s="2" t="s">
        <v>44</v>
      </c>
      <c r="I695" s="2">
        <v>4.9000000000000004</v>
      </c>
    </row>
    <row r="696" spans="1:9" x14ac:dyDescent="0.3">
      <c r="A696" s="2" t="s">
        <v>741</v>
      </c>
      <c r="B696" s="2" t="s">
        <v>36</v>
      </c>
      <c r="C696" s="2" t="s">
        <v>17</v>
      </c>
      <c r="D696" s="4">
        <v>13763.17</v>
      </c>
      <c r="E696" s="2">
        <v>5</v>
      </c>
      <c r="F696" s="4">
        <v>68815.850000000006</v>
      </c>
      <c r="G696" s="3">
        <v>45434</v>
      </c>
      <c r="H696" s="2" t="s">
        <v>30</v>
      </c>
      <c r="I696" s="2">
        <v>3.6</v>
      </c>
    </row>
    <row r="697" spans="1:9" x14ac:dyDescent="0.3">
      <c r="A697" s="2" t="s">
        <v>742</v>
      </c>
      <c r="B697" s="2" t="s">
        <v>26</v>
      </c>
      <c r="C697" s="2" t="s">
        <v>27</v>
      </c>
      <c r="D697" s="4">
        <v>6421.63</v>
      </c>
      <c r="E697" s="2">
        <v>2</v>
      </c>
      <c r="F697" s="4">
        <v>12843.26</v>
      </c>
      <c r="G697" s="3">
        <v>45356</v>
      </c>
      <c r="H697" s="2" t="s">
        <v>58</v>
      </c>
      <c r="I697" s="2">
        <v>1.5</v>
      </c>
    </row>
    <row r="698" spans="1:9" x14ac:dyDescent="0.3">
      <c r="A698" s="2" t="s">
        <v>743</v>
      </c>
      <c r="B698" s="2" t="s">
        <v>102</v>
      </c>
      <c r="C698" s="2" t="s">
        <v>13</v>
      </c>
      <c r="D698" s="4">
        <v>4617.2</v>
      </c>
      <c r="E698" s="2">
        <v>4</v>
      </c>
      <c r="F698" s="4">
        <v>18468.8</v>
      </c>
      <c r="G698" s="3">
        <v>45370</v>
      </c>
      <c r="H698" s="2" t="s">
        <v>18</v>
      </c>
      <c r="I698" s="2">
        <v>3.8</v>
      </c>
    </row>
    <row r="699" spans="1:9" x14ac:dyDescent="0.3">
      <c r="A699" s="2" t="s">
        <v>744</v>
      </c>
      <c r="B699" s="2" t="s">
        <v>56</v>
      </c>
      <c r="C699" s="2" t="s">
        <v>17</v>
      </c>
      <c r="D699" s="4">
        <v>6022.31</v>
      </c>
      <c r="E699" s="2">
        <v>5</v>
      </c>
      <c r="F699" s="4">
        <v>30111.55</v>
      </c>
      <c r="G699" s="3">
        <v>45513</v>
      </c>
      <c r="H699" s="2" t="s">
        <v>49</v>
      </c>
      <c r="I699" s="2">
        <v>3.5</v>
      </c>
    </row>
    <row r="700" spans="1:9" x14ac:dyDescent="0.3">
      <c r="A700" s="2" t="s">
        <v>745</v>
      </c>
      <c r="B700" s="2" t="s">
        <v>20</v>
      </c>
      <c r="C700" s="2" t="s">
        <v>21</v>
      </c>
      <c r="D700" s="4">
        <v>38968.519999999997</v>
      </c>
      <c r="E700" s="2">
        <v>4</v>
      </c>
      <c r="F700" s="4">
        <v>155874.07999999999</v>
      </c>
      <c r="G700" s="3">
        <v>45600</v>
      </c>
      <c r="H700" s="2" t="s">
        <v>58</v>
      </c>
      <c r="I700" s="2">
        <v>3.9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8"/>
  <sheetViews>
    <sheetView zoomScaleNormal="73" workbookViewId="0">
      <selection activeCell="C15" sqref="C15"/>
    </sheetView>
  </sheetViews>
  <sheetFormatPr defaultRowHeight="14.4" x14ac:dyDescent="0.3"/>
  <cols>
    <col min="1" max="1" width="15.33203125" bestFit="1" customWidth="1"/>
    <col min="2" max="2" width="24.77734375" bestFit="1" customWidth="1"/>
    <col min="3" max="3" width="10.33203125" bestFit="1" customWidth="1"/>
    <col min="4" max="4" width="9.77734375" bestFit="1" customWidth="1"/>
    <col min="5" max="5" width="11.21875" bestFit="1" customWidth="1"/>
    <col min="6" max="6" width="21" bestFit="1" customWidth="1"/>
    <col min="7" max="7" width="21.44140625" bestFit="1" customWidth="1"/>
    <col min="8" max="8" width="10.77734375" bestFit="1" customWidth="1"/>
    <col min="9" max="9" width="25.109375" customWidth="1"/>
    <col min="10" max="10" width="13.109375" customWidth="1"/>
    <col min="11" max="11" width="9.44140625" customWidth="1"/>
    <col min="12" max="12" width="10.6640625" customWidth="1"/>
    <col min="13" max="13" width="9.6640625" bestFit="1" customWidth="1"/>
    <col min="14" max="14" width="9.77734375" customWidth="1"/>
    <col min="15" max="15" width="11.109375" bestFit="1" customWidth="1"/>
    <col min="16" max="22" width="8.77734375" bestFit="1" customWidth="1"/>
    <col min="23" max="41" width="9.77734375" bestFit="1" customWidth="1"/>
    <col min="42" max="49" width="8.77734375" bestFit="1" customWidth="1"/>
    <col min="50" max="69" width="9.77734375" bestFit="1" customWidth="1"/>
    <col min="70" max="77" width="8.77734375" bestFit="1" customWidth="1"/>
    <col min="78" max="98" width="9.77734375" bestFit="1" customWidth="1"/>
    <col min="99" max="106" width="8.77734375" bestFit="1" customWidth="1"/>
    <col min="107" max="124" width="9.77734375" bestFit="1" customWidth="1"/>
    <col min="125" max="132" width="8.77734375" bestFit="1" customWidth="1"/>
    <col min="133" max="152" width="9.77734375" bestFit="1" customWidth="1"/>
    <col min="153" max="159" width="8.77734375" bestFit="1" customWidth="1"/>
    <col min="160" max="177" width="9.77734375" bestFit="1" customWidth="1"/>
    <col min="178" max="186" width="8.77734375" bestFit="1" customWidth="1"/>
    <col min="187" max="211" width="9.77734375" bestFit="1" customWidth="1"/>
    <col min="212" max="227" width="10.77734375" bestFit="1" customWidth="1"/>
    <col min="228" max="235" width="9.77734375" bestFit="1" customWidth="1"/>
    <col min="236" max="254" width="10.77734375" bestFit="1" customWidth="1"/>
    <col min="255" max="260" width="9.77734375" bestFit="1" customWidth="1"/>
    <col min="261" max="278" width="10.77734375" bestFit="1" customWidth="1"/>
    <col min="279" max="284" width="8.77734375" bestFit="1" customWidth="1"/>
    <col min="285" max="303" width="9.77734375" bestFit="1" customWidth="1"/>
    <col min="304" max="311" width="8.77734375" bestFit="1" customWidth="1"/>
    <col min="312" max="312" width="11.109375" bestFit="1" customWidth="1"/>
  </cols>
  <sheetData>
    <row r="1" spans="1:26" ht="10.8" customHeight="1" x14ac:dyDescent="0.3">
      <c r="A1" s="26"/>
      <c r="B1" s="26"/>
      <c r="C1" s="26"/>
      <c r="D1" s="26"/>
      <c r="E1" s="26"/>
      <c r="F1" s="26"/>
      <c r="G1" s="26"/>
      <c r="H1" s="26"/>
      <c r="I1" s="26"/>
      <c r="J1" s="26"/>
      <c r="K1" s="26"/>
      <c r="L1" s="26"/>
      <c r="M1" s="26"/>
      <c r="N1" s="26"/>
      <c r="O1" s="26"/>
      <c r="P1" s="26"/>
      <c r="Q1" s="26"/>
      <c r="R1" s="26"/>
      <c r="S1" s="26"/>
      <c r="T1" s="26"/>
      <c r="U1" s="26"/>
      <c r="V1" s="26"/>
      <c r="W1" s="26"/>
      <c r="X1" s="26"/>
      <c r="Y1" s="26"/>
      <c r="Z1" s="26"/>
    </row>
    <row r="2" spans="1:26" ht="22.8" customHeight="1" x14ac:dyDescent="0.55000000000000004">
      <c r="A2" s="26"/>
      <c r="B2" s="27" t="s">
        <v>784</v>
      </c>
      <c r="C2" s="26"/>
      <c r="D2" s="26"/>
      <c r="E2" s="26"/>
      <c r="F2" s="26"/>
      <c r="G2" s="26"/>
      <c r="H2" s="26"/>
      <c r="I2" s="26"/>
      <c r="J2" s="26"/>
      <c r="K2" s="26"/>
      <c r="L2" s="26"/>
      <c r="M2" s="26"/>
      <c r="N2" s="26"/>
      <c r="O2" s="26"/>
      <c r="P2" s="26"/>
      <c r="Q2" s="26"/>
      <c r="R2" s="26"/>
      <c r="S2" s="26"/>
      <c r="T2" s="26"/>
      <c r="U2" s="26"/>
      <c r="V2" s="26"/>
      <c r="W2" s="26"/>
      <c r="X2" s="26"/>
      <c r="Y2" s="26"/>
      <c r="Z2" s="26"/>
    </row>
    <row r="4" spans="1:26" x14ac:dyDescent="0.3">
      <c r="A4" s="28" t="s">
        <v>785</v>
      </c>
      <c r="B4" s="29" t="s">
        <v>786</v>
      </c>
      <c r="C4" s="29" t="s">
        <v>787</v>
      </c>
      <c r="D4" s="30" t="s">
        <v>788</v>
      </c>
      <c r="E4" s="29" t="s">
        <v>789</v>
      </c>
      <c r="F4" s="30" t="s">
        <v>790</v>
      </c>
      <c r="G4" s="29"/>
      <c r="H4" s="29" t="s">
        <v>9</v>
      </c>
      <c r="I4" s="31" t="s">
        <v>765</v>
      </c>
    </row>
    <row r="5" spans="1:26" x14ac:dyDescent="0.3">
      <c r="A5" s="14">
        <f>COUNTIF(Flipkart_Sales_Data!A:A,"*")</f>
        <v>700</v>
      </c>
      <c r="B5" s="14">
        <f>COUNTA(_xlfn.UNIQUE(Flipkart_Sales_Data!B:B))</f>
        <v>27</v>
      </c>
      <c r="C5" s="14">
        <f>COUNTA(_xlfn.UNIQUE(Flipkart_Sales_Data!C:C))</f>
        <v>7</v>
      </c>
      <c r="D5" s="16">
        <f>AVERAGE(flipkart_sales[Price (INR)])</f>
        <v>24819.077525035776</v>
      </c>
      <c r="E5" s="14">
        <f>SUM(Flipkart_Sales_Data!E:E)</f>
        <v>2162</v>
      </c>
      <c r="F5" s="15">
        <f>SUM(Flipkart_Sales_Data!F:F)</f>
        <v>53378505.270000018</v>
      </c>
      <c r="G5" s="14"/>
      <c r="H5" s="14">
        <f>COUNTA(_xlfn.UNIQUE(Flipkart_Sales_Data!H:H))</f>
        <v>8</v>
      </c>
      <c r="I5" s="16">
        <f>AVERAGE(Flipkart_Sales_Data!I:I)</f>
        <v>3.0476394849785429</v>
      </c>
    </row>
    <row r="8" spans="1:26" x14ac:dyDescent="0.3">
      <c r="A8" s="32" t="s">
        <v>792</v>
      </c>
      <c r="B8" s="26"/>
      <c r="C8" s="26"/>
      <c r="F8" s="32" t="s">
        <v>793</v>
      </c>
      <c r="G8" s="26"/>
    </row>
    <row r="9" spans="1:26" x14ac:dyDescent="0.3">
      <c r="A9" s="5" t="s">
        <v>4</v>
      </c>
      <c r="B9" s="2" t="s">
        <v>746</v>
      </c>
      <c r="C9" s="2" t="s">
        <v>747</v>
      </c>
      <c r="F9" s="5" t="s">
        <v>749</v>
      </c>
      <c r="G9" s="2" t="s">
        <v>746</v>
      </c>
    </row>
    <row r="10" spans="1:26" x14ac:dyDescent="0.3">
      <c r="A10" s="2" t="s">
        <v>21</v>
      </c>
      <c r="B10" s="4">
        <v>10681406.179999996</v>
      </c>
      <c r="C10" s="4">
        <v>3350049.2099999986</v>
      </c>
      <c r="F10" s="2" t="s">
        <v>44</v>
      </c>
      <c r="G10" s="6">
        <v>0.15864625259110404</v>
      </c>
    </row>
    <row r="11" spans="1:26" x14ac:dyDescent="0.3">
      <c r="A11" s="2" t="s">
        <v>13</v>
      </c>
      <c r="B11" s="4">
        <v>10445289.959999995</v>
      </c>
      <c r="C11" s="4">
        <v>3386136.7499999995</v>
      </c>
      <c r="F11" s="2" t="s">
        <v>49</v>
      </c>
      <c r="G11" s="6">
        <v>0.15017863575331999</v>
      </c>
    </row>
    <row r="12" spans="1:26" x14ac:dyDescent="0.3">
      <c r="A12" s="2" t="s">
        <v>17</v>
      </c>
      <c r="B12" s="4">
        <v>11261258.699999997</v>
      </c>
      <c r="C12" s="4">
        <v>3550410.2799999975</v>
      </c>
      <c r="F12" s="2" t="s">
        <v>14</v>
      </c>
      <c r="G12" s="6">
        <v>0.16800404553553736</v>
      </c>
    </row>
    <row r="13" spans="1:26" x14ac:dyDescent="0.3">
      <c r="A13" s="2" t="s">
        <v>24</v>
      </c>
      <c r="B13" s="4">
        <v>12443538.850000003</v>
      </c>
      <c r="C13" s="4">
        <v>4057938.81</v>
      </c>
      <c r="F13" s="2" t="s">
        <v>58</v>
      </c>
      <c r="G13" s="6">
        <v>0.1708186588192937</v>
      </c>
    </row>
    <row r="14" spans="1:26" x14ac:dyDescent="0.3">
      <c r="A14" s="2" t="s">
        <v>27</v>
      </c>
      <c r="B14" s="4">
        <v>8547011.5800000001</v>
      </c>
      <c r="C14" s="4">
        <v>3004000.1399999992</v>
      </c>
      <c r="F14" s="2" t="s">
        <v>18</v>
      </c>
      <c r="G14" s="6">
        <v>0.17019410348880307</v>
      </c>
    </row>
    <row r="15" spans="1:26" x14ac:dyDescent="0.3">
      <c r="A15" s="2" t="s">
        <v>1</v>
      </c>
      <c r="B15" s="4">
        <v>53378505.269999988</v>
      </c>
      <c r="C15" s="4">
        <v>17348535.189999994</v>
      </c>
      <c r="F15" s="2" t="s">
        <v>30</v>
      </c>
      <c r="G15" s="6">
        <v>0.1821583038119419</v>
      </c>
    </row>
    <row r="16" spans="1:26" x14ac:dyDescent="0.3">
      <c r="F16" s="2" t="s">
        <v>1</v>
      </c>
      <c r="G16" s="6">
        <v>1</v>
      </c>
    </row>
    <row r="21" spans="1:8" x14ac:dyDescent="0.3">
      <c r="A21" s="32" t="s">
        <v>791</v>
      </c>
      <c r="B21" s="26"/>
      <c r="C21" s="26"/>
      <c r="D21" s="26"/>
      <c r="E21" s="26"/>
      <c r="F21" s="26"/>
      <c r="G21" s="26"/>
      <c r="H21" s="26"/>
    </row>
    <row r="22" spans="1:8" x14ac:dyDescent="0.3">
      <c r="A22" s="5" t="s">
        <v>746</v>
      </c>
      <c r="B22" s="5" t="s">
        <v>748</v>
      </c>
      <c r="C22" s="2"/>
      <c r="D22" s="2"/>
      <c r="E22" s="2"/>
      <c r="F22" s="2"/>
      <c r="G22" s="2"/>
      <c r="H22" s="2"/>
    </row>
    <row r="23" spans="1:8" x14ac:dyDescent="0.3">
      <c r="A23" s="5" t="s">
        <v>4</v>
      </c>
      <c r="B23" s="2" t="s">
        <v>44</v>
      </c>
      <c r="C23" s="2" t="s">
        <v>49</v>
      </c>
      <c r="D23" s="2" t="s">
        <v>14</v>
      </c>
      <c r="E23" s="2" t="s">
        <v>58</v>
      </c>
      <c r="F23" s="2" t="s">
        <v>18</v>
      </c>
      <c r="G23" s="2" t="s">
        <v>30</v>
      </c>
      <c r="H23" s="2" t="s">
        <v>1</v>
      </c>
    </row>
    <row r="24" spans="1:8" x14ac:dyDescent="0.3">
      <c r="A24" s="2" t="s">
        <v>21</v>
      </c>
      <c r="B24" s="4">
        <v>2363837.9299999997</v>
      </c>
      <c r="C24" s="4">
        <v>1986151.4100000004</v>
      </c>
      <c r="D24" s="4">
        <v>748894.58</v>
      </c>
      <c r="E24" s="4">
        <v>2008162.23</v>
      </c>
      <c r="F24" s="4">
        <v>2297860.9900000002</v>
      </c>
      <c r="G24" s="4">
        <v>1276499.0399999998</v>
      </c>
      <c r="H24" s="4">
        <v>10681406.18</v>
      </c>
    </row>
    <row r="25" spans="1:8" x14ac:dyDescent="0.3">
      <c r="A25" s="2" t="s">
        <v>13</v>
      </c>
      <c r="B25" s="4">
        <v>697686.85000000009</v>
      </c>
      <c r="C25" s="4">
        <v>1532464.7</v>
      </c>
      <c r="D25" s="4">
        <v>2316680.2799999998</v>
      </c>
      <c r="E25" s="4">
        <v>1736329.6099999999</v>
      </c>
      <c r="F25" s="4">
        <v>2019661.72</v>
      </c>
      <c r="G25" s="4">
        <v>2142466.7999999998</v>
      </c>
      <c r="H25" s="4">
        <v>10445289.959999999</v>
      </c>
    </row>
    <row r="26" spans="1:8" x14ac:dyDescent="0.3">
      <c r="A26" s="2" t="s">
        <v>17</v>
      </c>
      <c r="B26" s="4">
        <v>1716855.1300000001</v>
      </c>
      <c r="C26" s="4">
        <v>1495695.5000000005</v>
      </c>
      <c r="D26" s="4">
        <v>1913547.3299999998</v>
      </c>
      <c r="E26" s="4">
        <v>2243779.7999999998</v>
      </c>
      <c r="F26" s="4">
        <v>1578206.9100000001</v>
      </c>
      <c r="G26" s="4">
        <v>2313174.0299999998</v>
      </c>
      <c r="H26" s="4">
        <v>11261258.700000001</v>
      </c>
    </row>
    <row r="27" spans="1:8" x14ac:dyDescent="0.3">
      <c r="A27" s="2" t="s">
        <v>24</v>
      </c>
      <c r="B27" s="4">
        <v>2485844.0199999996</v>
      </c>
      <c r="C27" s="4">
        <v>1706488.7999999998</v>
      </c>
      <c r="D27" s="4">
        <v>2360154.8499999996</v>
      </c>
      <c r="E27" s="4">
        <v>1841254.14</v>
      </c>
      <c r="F27" s="4">
        <v>2081006.9800000002</v>
      </c>
      <c r="G27" s="4">
        <v>1968790.06</v>
      </c>
      <c r="H27" s="4">
        <v>12443538.85</v>
      </c>
    </row>
    <row r="28" spans="1:8" x14ac:dyDescent="0.3">
      <c r="A28" s="2" t="s">
        <v>27</v>
      </c>
      <c r="B28" s="4">
        <v>1204075.8999999999</v>
      </c>
      <c r="C28" s="4">
        <v>1295510.6900000002</v>
      </c>
      <c r="D28" s="4">
        <v>1628527.7900000003</v>
      </c>
      <c r="E28" s="4">
        <v>1288518.8999999999</v>
      </c>
      <c r="F28" s="4">
        <v>1107970.2500000002</v>
      </c>
      <c r="G28" s="4">
        <v>2022408.05</v>
      </c>
      <c r="H28" s="4">
        <v>8547011.5800000001</v>
      </c>
    </row>
    <row r="29" spans="1:8" x14ac:dyDescent="0.3">
      <c r="A29" s="2" t="s">
        <v>1</v>
      </c>
      <c r="B29" s="4">
        <v>8468299.8300000001</v>
      </c>
      <c r="C29" s="4">
        <v>8016311.1000000015</v>
      </c>
      <c r="D29" s="4">
        <v>8967804.8300000001</v>
      </c>
      <c r="E29" s="4">
        <v>9118044.6799999997</v>
      </c>
      <c r="F29" s="4">
        <v>9084706.8500000015</v>
      </c>
      <c r="G29" s="4">
        <v>9723337.9800000004</v>
      </c>
      <c r="H29" s="4">
        <v>53378505.270000003</v>
      </c>
    </row>
    <row r="32" spans="1:8" x14ac:dyDescent="0.3">
      <c r="A32" s="2"/>
    </row>
    <row r="34" spans="1:8" x14ac:dyDescent="0.3">
      <c r="A34" s="32" t="s">
        <v>794</v>
      </c>
      <c r="B34" s="26"/>
      <c r="E34" s="32" t="s">
        <v>795</v>
      </c>
      <c r="F34" s="26"/>
      <c r="G34" s="26"/>
      <c r="H34" s="26"/>
    </row>
    <row r="35" spans="1:8" x14ac:dyDescent="0.3">
      <c r="A35" s="5" t="s">
        <v>4</v>
      </c>
      <c r="B35" s="2" t="s">
        <v>746</v>
      </c>
      <c r="E35" s="5" t="s">
        <v>750</v>
      </c>
      <c r="F35" s="5" t="s">
        <v>748</v>
      </c>
      <c r="G35" s="2"/>
      <c r="H35" s="2"/>
    </row>
    <row r="36" spans="1:8" x14ac:dyDescent="0.3">
      <c r="A36" s="2" t="s">
        <v>21</v>
      </c>
      <c r="B36" s="6">
        <v>0.20010688058744133</v>
      </c>
      <c r="E36" s="2"/>
      <c r="F36" s="2" t="s">
        <v>751</v>
      </c>
      <c r="G36" s="2" t="s">
        <v>752</v>
      </c>
      <c r="H36" s="2" t="s">
        <v>1</v>
      </c>
    </row>
    <row r="37" spans="1:8" x14ac:dyDescent="0.3">
      <c r="A37" s="2" t="s">
        <v>13</v>
      </c>
      <c r="B37" s="6">
        <v>0.19568344799400933</v>
      </c>
      <c r="E37" s="5" t="s">
        <v>4</v>
      </c>
      <c r="F37" s="2"/>
      <c r="G37" s="2"/>
      <c r="H37" s="2"/>
    </row>
    <row r="38" spans="1:8" x14ac:dyDescent="0.3">
      <c r="A38" s="2" t="s">
        <v>17</v>
      </c>
      <c r="B38" s="6">
        <v>0.21096991463208126</v>
      </c>
      <c r="E38" s="2" t="s">
        <v>21</v>
      </c>
      <c r="F38" s="2">
        <v>366</v>
      </c>
      <c r="G38" s="2">
        <v>50</v>
      </c>
      <c r="H38" s="2">
        <v>416</v>
      </c>
    </row>
    <row r="39" spans="1:8" x14ac:dyDescent="0.3">
      <c r="A39" s="2" t="s">
        <v>24</v>
      </c>
      <c r="B39" s="6">
        <v>0.23311890782737174</v>
      </c>
      <c r="E39" s="2" t="s">
        <v>13</v>
      </c>
      <c r="F39" s="2">
        <v>408</v>
      </c>
      <c r="G39" s="2">
        <v>42</v>
      </c>
      <c r="H39" s="2">
        <v>450</v>
      </c>
    </row>
    <row r="40" spans="1:8" x14ac:dyDescent="0.3">
      <c r="A40" s="2" t="s">
        <v>27</v>
      </c>
      <c r="B40" s="6">
        <v>0.16012084895909642</v>
      </c>
      <c r="E40" s="2" t="s">
        <v>17</v>
      </c>
      <c r="F40" s="2">
        <v>380</v>
      </c>
      <c r="G40" s="2">
        <v>59</v>
      </c>
      <c r="H40" s="2">
        <v>439</v>
      </c>
    </row>
    <row r="41" spans="1:8" x14ac:dyDescent="0.3">
      <c r="A41" s="2" t="s">
        <v>1</v>
      </c>
      <c r="B41" s="6">
        <v>1</v>
      </c>
      <c r="E41" s="2" t="s">
        <v>24</v>
      </c>
      <c r="F41" s="2">
        <v>427</v>
      </c>
      <c r="G41" s="2">
        <v>69</v>
      </c>
      <c r="H41" s="2">
        <v>496</v>
      </c>
    </row>
    <row r="42" spans="1:8" x14ac:dyDescent="0.3">
      <c r="E42" s="2" t="s">
        <v>27</v>
      </c>
      <c r="F42" s="2">
        <v>327</v>
      </c>
      <c r="G42" s="2">
        <v>34</v>
      </c>
      <c r="H42" s="2">
        <v>361</v>
      </c>
    </row>
    <row r="43" spans="1:8" x14ac:dyDescent="0.3">
      <c r="E43" s="2" t="s">
        <v>1</v>
      </c>
      <c r="F43" s="2">
        <v>1908</v>
      </c>
      <c r="G43" s="2">
        <v>254</v>
      </c>
      <c r="H43" s="2">
        <v>2162</v>
      </c>
    </row>
    <row r="48" spans="1:8" x14ac:dyDescent="0.3">
      <c r="A48" s="32" t="s">
        <v>796</v>
      </c>
      <c r="B48" s="26"/>
      <c r="C48" s="26"/>
      <c r="D48" s="26"/>
      <c r="E48" s="26"/>
      <c r="F48" s="26"/>
      <c r="G48" s="26"/>
      <c r="H48" s="26"/>
    </row>
    <row r="49" spans="1:8" x14ac:dyDescent="0.3">
      <c r="A49" s="5" t="s">
        <v>746</v>
      </c>
      <c r="B49" s="5" t="s">
        <v>748</v>
      </c>
      <c r="C49" s="2"/>
      <c r="D49" s="2"/>
      <c r="E49" s="2"/>
      <c r="F49" s="2"/>
      <c r="G49" s="2"/>
      <c r="H49" s="2"/>
    </row>
    <row r="50" spans="1:8" x14ac:dyDescent="0.3">
      <c r="A50" s="5" t="s">
        <v>768</v>
      </c>
      <c r="B50" s="2" t="s">
        <v>44</v>
      </c>
      <c r="C50" s="2" t="s">
        <v>49</v>
      </c>
      <c r="D50" s="2" t="s">
        <v>14</v>
      </c>
      <c r="E50" s="2" t="s">
        <v>58</v>
      </c>
      <c r="F50" s="2" t="s">
        <v>18</v>
      </c>
      <c r="G50" s="2" t="s">
        <v>30</v>
      </c>
      <c r="H50" s="2" t="s">
        <v>1</v>
      </c>
    </row>
    <row r="51" spans="1:8" x14ac:dyDescent="0.3">
      <c r="A51" s="2" t="s">
        <v>753</v>
      </c>
      <c r="B51" s="4">
        <v>970672.83</v>
      </c>
      <c r="C51" s="4">
        <v>881559.11</v>
      </c>
      <c r="D51" s="4">
        <v>425666.38</v>
      </c>
      <c r="E51" s="4">
        <v>1156275.21</v>
      </c>
      <c r="F51" s="4">
        <v>660352.32999999996</v>
      </c>
      <c r="G51" s="4">
        <v>1207542.3700000001</v>
      </c>
      <c r="H51" s="4">
        <v>5302068.2300000004</v>
      </c>
    </row>
    <row r="52" spans="1:8" x14ac:dyDescent="0.3">
      <c r="A52" s="2" t="s">
        <v>754</v>
      </c>
      <c r="B52" s="4">
        <v>413625.45999999996</v>
      </c>
      <c r="C52" s="4">
        <v>248254.84</v>
      </c>
      <c r="D52" s="4">
        <v>689816.83000000007</v>
      </c>
      <c r="E52" s="4">
        <v>790976.21000000008</v>
      </c>
      <c r="F52" s="4">
        <v>842411.9</v>
      </c>
      <c r="G52" s="4">
        <v>670952.72000000009</v>
      </c>
      <c r="H52" s="4">
        <v>3656037.96</v>
      </c>
    </row>
    <row r="53" spans="1:8" x14ac:dyDescent="0.3">
      <c r="A53" s="2" t="s">
        <v>755</v>
      </c>
      <c r="B53" s="4">
        <v>1066560.82</v>
      </c>
      <c r="C53" s="4">
        <v>135774.71000000002</v>
      </c>
      <c r="D53" s="4">
        <v>1098109.45</v>
      </c>
      <c r="E53" s="4">
        <v>439760.81999999995</v>
      </c>
      <c r="F53" s="4">
        <v>544791.70000000007</v>
      </c>
      <c r="G53" s="4">
        <v>1240604.29</v>
      </c>
      <c r="H53" s="4">
        <v>4525601.79</v>
      </c>
    </row>
    <row r="54" spans="1:8" x14ac:dyDescent="0.3">
      <c r="A54" s="2" t="s">
        <v>756</v>
      </c>
      <c r="B54" s="4">
        <v>1023166.8300000001</v>
      </c>
      <c r="C54" s="4">
        <v>1329186.8699999999</v>
      </c>
      <c r="D54" s="4">
        <v>424628.93</v>
      </c>
      <c r="E54" s="4">
        <v>1494609.2999999996</v>
      </c>
      <c r="F54" s="4">
        <v>1216610.3999999999</v>
      </c>
      <c r="G54" s="4">
        <v>393298.91000000003</v>
      </c>
      <c r="H54" s="4">
        <v>5881501.2400000002</v>
      </c>
    </row>
    <row r="55" spans="1:8" x14ac:dyDescent="0.3">
      <c r="A55" s="2" t="s">
        <v>757</v>
      </c>
      <c r="B55" s="4">
        <v>738338.62</v>
      </c>
      <c r="C55" s="4">
        <v>408532.91</v>
      </c>
      <c r="D55" s="4">
        <v>535720.34</v>
      </c>
      <c r="E55" s="4">
        <v>561991.87</v>
      </c>
      <c r="F55" s="4">
        <v>1201481.33</v>
      </c>
      <c r="G55" s="4">
        <v>1061834.3</v>
      </c>
      <c r="H55" s="4">
        <v>4507899.37</v>
      </c>
    </row>
    <row r="56" spans="1:8" x14ac:dyDescent="0.3">
      <c r="A56" s="2" t="s">
        <v>758</v>
      </c>
      <c r="B56" s="4">
        <v>483703.72000000003</v>
      </c>
      <c r="C56" s="4">
        <v>638841.56000000006</v>
      </c>
      <c r="D56" s="4">
        <v>729615.81</v>
      </c>
      <c r="E56" s="4">
        <v>584679.43000000005</v>
      </c>
      <c r="F56" s="4">
        <v>690694.71</v>
      </c>
      <c r="G56" s="4">
        <v>848959.6399999999</v>
      </c>
      <c r="H56" s="4">
        <v>3976494.87</v>
      </c>
    </row>
    <row r="57" spans="1:8" x14ac:dyDescent="0.3">
      <c r="A57" s="2" t="s">
        <v>759</v>
      </c>
      <c r="B57" s="4">
        <v>667853.51000000013</v>
      </c>
      <c r="C57" s="4">
        <v>960897.49</v>
      </c>
      <c r="D57" s="4">
        <v>643394.62</v>
      </c>
      <c r="E57" s="4">
        <v>1283442</v>
      </c>
      <c r="F57" s="4">
        <v>795037.38</v>
      </c>
      <c r="G57" s="4">
        <v>1255051.4700000002</v>
      </c>
      <c r="H57" s="4">
        <v>5605676.4700000007</v>
      </c>
    </row>
    <row r="58" spans="1:8" x14ac:dyDescent="0.3">
      <c r="A58" s="2" t="s">
        <v>760</v>
      </c>
      <c r="B58" s="4">
        <v>630904.36</v>
      </c>
      <c r="C58" s="4">
        <v>723602.01</v>
      </c>
      <c r="D58" s="4">
        <v>763678.50000000012</v>
      </c>
      <c r="E58" s="4">
        <v>307301.46000000002</v>
      </c>
      <c r="F58" s="4">
        <v>632330.1399999999</v>
      </c>
      <c r="G58" s="4">
        <v>565783.1</v>
      </c>
      <c r="H58" s="4">
        <v>3623599.57</v>
      </c>
    </row>
    <row r="59" spans="1:8" x14ac:dyDescent="0.3">
      <c r="A59" s="2" t="s">
        <v>761</v>
      </c>
      <c r="B59" s="4">
        <v>848959.09</v>
      </c>
      <c r="C59" s="4">
        <v>742701.58999999985</v>
      </c>
      <c r="D59" s="4">
        <v>953062.6</v>
      </c>
      <c r="E59" s="4">
        <v>1149998.2399999998</v>
      </c>
      <c r="F59" s="4">
        <v>384464.72000000003</v>
      </c>
      <c r="G59" s="4">
        <v>225997.26</v>
      </c>
      <c r="H59" s="4">
        <v>4305183.5</v>
      </c>
    </row>
    <row r="60" spans="1:8" x14ac:dyDescent="0.3">
      <c r="A60" s="2" t="s">
        <v>762</v>
      </c>
      <c r="B60" s="4">
        <v>672516.71</v>
      </c>
      <c r="C60" s="4">
        <v>561288.58000000007</v>
      </c>
      <c r="D60" s="4">
        <v>694155.82</v>
      </c>
      <c r="E60" s="4">
        <v>391981.42</v>
      </c>
      <c r="F60" s="4">
        <v>402109.57999999996</v>
      </c>
      <c r="G60" s="4">
        <v>930948.73</v>
      </c>
      <c r="H60" s="4">
        <v>3653000.84</v>
      </c>
    </row>
    <row r="61" spans="1:8" x14ac:dyDescent="0.3">
      <c r="A61" s="2" t="s">
        <v>763</v>
      </c>
      <c r="B61" s="4">
        <v>442927.31</v>
      </c>
      <c r="C61" s="4">
        <v>966280.89</v>
      </c>
      <c r="D61" s="4">
        <v>578260.24</v>
      </c>
      <c r="E61" s="4">
        <v>463256.16000000003</v>
      </c>
      <c r="F61" s="4">
        <v>971385.01</v>
      </c>
      <c r="G61" s="4">
        <v>922323.96</v>
      </c>
      <c r="H61" s="4">
        <v>4344433.57</v>
      </c>
    </row>
    <row r="62" spans="1:8" x14ac:dyDescent="0.3">
      <c r="A62" s="2" t="s">
        <v>764</v>
      </c>
      <c r="B62" s="4">
        <v>509070.57</v>
      </c>
      <c r="C62" s="4">
        <v>419390.54000000004</v>
      </c>
      <c r="D62" s="4">
        <v>1431695.31</v>
      </c>
      <c r="E62" s="4">
        <v>493772.56</v>
      </c>
      <c r="F62" s="4">
        <v>743037.65</v>
      </c>
      <c r="G62" s="4">
        <v>400041.23</v>
      </c>
      <c r="H62" s="4">
        <v>3997007.86</v>
      </c>
    </row>
    <row r="63" spans="1:8" x14ac:dyDescent="0.3">
      <c r="A63" s="2" t="s">
        <v>1</v>
      </c>
      <c r="B63" s="4">
        <v>8468299.8300000001</v>
      </c>
      <c r="C63" s="4">
        <v>8016311.0999999996</v>
      </c>
      <c r="D63" s="4">
        <v>8967804.8300000001</v>
      </c>
      <c r="E63" s="4">
        <v>9118044.6799999997</v>
      </c>
      <c r="F63" s="4">
        <v>9084706.8499999996</v>
      </c>
      <c r="G63" s="4">
        <v>9723337.9800000004</v>
      </c>
      <c r="H63" s="4">
        <v>53378505.270000003</v>
      </c>
    </row>
    <row r="68" spans="1:8" x14ac:dyDescent="0.3">
      <c r="A68" s="32" t="s">
        <v>797</v>
      </c>
      <c r="B68" s="26"/>
      <c r="E68" s="32" t="s">
        <v>798</v>
      </c>
      <c r="F68" s="26"/>
      <c r="G68" s="26"/>
      <c r="H68" s="26"/>
    </row>
    <row r="69" spans="1:8" x14ac:dyDescent="0.3">
      <c r="A69" s="7" t="s">
        <v>767</v>
      </c>
      <c r="B69" t="s">
        <v>765</v>
      </c>
      <c r="E69" s="5" t="s">
        <v>4</v>
      </c>
      <c r="F69" s="2" t="s">
        <v>769</v>
      </c>
    </row>
    <row r="70" spans="1:8" x14ac:dyDescent="0.3">
      <c r="A70" s="8" t="s">
        <v>62</v>
      </c>
      <c r="B70" s="9">
        <v>3.7833333333333328</v>
      </c>
    </row>
    <row r="71" spans="1:8" x14ac:dyDescent="0.3">
      <c r="A71" s="8" t="s">
        <v>48</v>
      </c>
      <c r="B71" s="9">
        <v>3.3416666666666663</v>
      </c>
      <c r="E71" s="5" t="s">
        <v>750</v>
      </c>
      <c r="F71" s="5" t="s">
        <v>789</v>
      </c>
      <c r="G71" s="2"/>
      <c r="H71" s="2"/>
    </row>
    <row r="72" spans="1:8" x14ac:dyDescent="0.3">
      <c r="A72" s="8" t="s">
        <v>52</v>
      </c>
      <c r="B72" s="9">
        <v>3.0571428571428565</v>
      </c>
      <c r="E72" s="5" t="s">
        <v>0</v>
      </c>
      <c r="F72" s="2" t="s">
        <v>751</v>
      </c>
      <c r="G72" s="2" t="s">
        <v>752</v>
      </c>
      <c r="H72" s="2" t="s">
        <v>1</v>
      </c>
    </row>
    <row r="73" spans="1:8" x14ac:dyDescent="0.3">
      <c r="A73" s="8" t="s">
        <v>26</v>
      </c>
      <c r="B73" s="9">
        <v>3.1296296296296302</v>
      </c>
      <c r="E73" s="2" t="s">
        <v>62</v>
      </c>
      <c r="F73" s="2">
        <v>66</v>
      </c>
      <c r="G73" s="2">
        <v>3</v>
      </c>
      <c r="H73" s="2">
        <v>69</v>
      </c>
    </row>
    <row r="74" spans="1:8" x14ac:dyDescent="0.3">
      <c r="A74" s="8" t="s">
        <v>153</v>
      </c>
      <c r="B74" s="9">
        <v>3.1894736842105256</v>
      </c>
      <c r="E74" s="2" t="s">
        <v>48</v>
      </c>
      <c r="F74" s="2">
        <v>65</v>
      </c>
      <c r="G74" s="2">
        <v>8</v>
      </c>
      <c r="H74" s="2">
        <v>73</v>
      </c>
    </row>
    <row r="75" spans="1:8" x14ac:dyDescent="0.3">
      <c r="A75" s="8" t="s">
        <v>12</v>
      </c>
      <c r="B75" s="9">
        <v>3.0086956521739139</v>
      </c>
      <c r="E75" s="2" t="s">
        <v>52</v>
      </c>
      <c r="F75" s="2">
        <v>65</v>
      </c>
      <c r="G75" s="2">
        <v>5</v>
      </c>
      <c r="H75" s="2">
        <v>70</v>
      </c>
    </row>
    <row r="76" spans="1:8" x14ac:dyDescent="0.3">
      <c r="A76" s="8" t="s">
        <v>20</v>
      </c>
      <c r="B76" s="9">
        <v>2.9629629629629637</v>
      </c>
      <c r="E76" s="2" t="s">
        <v>26</v>
      </c>
      <c r="F76" s="2">
        <v>77</v>
      </c>
      <c r="G76" s="2">
        <v>5</v>
      </c>
      <c r="H76" s="2">
        <v>82</v>
      </c>
    </row>
    <row r="77" spans="1:8" x14ac:dyDescent="0.3">
      <c r="A77" s="8" t="s">
        <v>95</v>
      </c>
      <c r="B77" s="9">
        <v>2.9521739130434779</v>
      </c>
      <c r="E77" s="2" t="s">
        <v>153</v>
      </c>
      <c r="F77" s="2">
        <v>55</v>
      </c>
      <c r="G77" s="2">
        <v>5</v>
      </c>
      <c r="H77" s="2">
        <v>60</v>
      </c>
    </row>
    <row r="78" spans="1:8" x14ac:dyDescent="0.3">
      <c r="A78" s="8" t="s">
        <v>71</v>
      </c>
      <c r="B78" s="9">
        <v>2.74</v>
      </c>
      <c r="E78" s="2" t="s">
        <v>12</v>
      </c>
      <c r="F78" s="2">
        <v>130</v>
      </c>
      <c r="G78" s="2">
        <v>4</v>
      </c>
      <c r="H78" s="2">
        <v>134</v>
      </c>
    </row>
    <row r="79" spans="1:8" x14ac:dyDescent="0.3">
      <c r="A79" s="8" t="s">
        <v>84</v>
      </c>
      <c r="B79" s="9">
        <v>2.8531250000000004</v>
      </c>
      <c r="E79" s="2" t="s">
        <v>20</v>
      </c>
      <c r="F79" s="2">
        <v>73</v>
      </c>
      <c r="G79" s="2">
        <v>18</v>
      </c>
      <c r="H79" s="2">
        <v>91</v>
      </c>
    </row>
    <row r="80" spans="1:8" x14ac:dyDescent="0.3">
      <c r="A80" s="8" t="s">
        <v>36</v>
      </c>
      <c r="B80" s="9">
        <v>2.9966666666666657</v>
      </c>
      <c r="E80" s="2" t="s">
        <v>95</v>
      </c>
      <c r="F80" s="2">
        <v>65</v>
      </c>
      <c r="G80" s="2">
        <v>14</v>
      </c>
      <c r="H80" s="2">
        <v>79</v>
      </c>
    </row>
    <row r="81" spans="1:8" x14ac:dyDescent="0.3">
      <c r="A81" s="8" t="s">
        <v>16</v>
      </c>
      <c r="B81" s="9">
        <v>3.1074074074074076</v>
      </c>
      <c r="E81" s="2" t="s">
        <v>71</v>
      </c>
      <c r="F81" s="2">
        <v>76</v>
      </c>
      <c r="G81" s="2"/>
      <c r="H81" s="2">
        <v>76</v>
      </c>
    </row>
    <row r="82" spans="1:8" x14ac:dyDescent="0.3">
      <c r="A82" s="8" t="s">
        <v>73</v>
      </c>
      <c r="B82" s="9">
        <v>3.015625</v>
      </c>
      <c r="E82" s="2" t="s">
        <v>84</v>
      </c>
      <c r="F82" s="2">
        <v>86</v>
      </c>
      <c r="G82" s="2">
        <v>15</v>
      </c>
      <c r="H82" s="2">
        <v>101</v>
      </c>
    </row>
    <row r="83" spans="1:8" x14ac:dyDescent="0.3">
      <c r="A83" s="8" t="s">
        <v>42</v>
      </c>
      <c r="B83" s="9">
        <v>2.7407407407407414</v>
      </c>
      <c r="E83" s="2" t="s">
        <v>36</v>
      </c>
      <c r="F83" s="2">
        <v>88</v>
      </c>
      <c r="G83" s="2">
        <v>11</v>
      </c>
      <c r="H83" s="2">
        <v>99</v>
      </c>
    </row>
    <row r="84" spans="1:8" x14ac:dyDescent="0.3">
      <c r="A84" s="8" t="s">
        <v>29</v>
      </c>
      <c r="B84" s="9">
        <v>2.9333333333333331</v>
      </c>
      <c r="E84" s="2" t="s">
        <v>16</v>
      </c>
      <c r="F84" s="2">
        <v>86</v>
      </c>
      <c r="G84" s="2">
        <v>3</v>
      </c>
      <c r="H84" s="2">
        <v>89</v>
      </c>
    </row>
    <row r="85" spans="1:8" x14ac:dyDescent="0.3">
      <c r="A85" s="8" t="s">
        <v>40</v>
      </c>
      <c r="B85" s="9">
        <v>3.1709677419354843</v>
      </c>
      <c r="E85" s="2" t="s">
        <v>73</v>
      </c>
      <c r="F85" s="2">
        <v>80</v>
      </c>
      <c r="G85" s="2">
        <v>22</v>
      </c>
      <c r="H85" s="2">
        <v>102</v>
      </c>
    </row>
    <row r="86" spans="1:8" x14ac:dyDescent="0.3">
      <c r="A86" s="8" t="s">
        <v>102</v>
      </c>
      <c r="B86" s="9">
        <v>2.8379310344827582</v>
      </c>
      <c r="E86" s="2" t="s">
        <v>42</v>
      </c>
      <c r="F86" s="2">
        <v>73</v>
      </c>
      <c r="G86" s="2">
        <v>6</v>
      </c>
      <c r="H86" s="2">
        <v>79</v>
      </c>
    </row>
    <row r="87" spans="1:8" x14ac:dyDescent="0.3">
      <c r="A87" s="8" t="s">
        <v>77</v>
      </c>
      <c r="B87" s="9">
        <v>2.7653846153846158</v>
      </c>
      <c r="E87" s="2" t="s">
        <v>29</v>
      </c>
      <c r="F87" s="2">
        <v>56</v>
      </c>
      <c r="G87" s="2">
        <v>10</v>
      </c>
      <c r="H87" s="2">
        <v>66</v>
      </c>
    </row>
    <row r="88" spans="1:8" x14ac:dyDescent="0.3">
      <c r="A88" s="8" t="s">
        <v>46</v>
      </c>
      <c r="B88" s="9">
        <v>3.1344827586206905</v>
      </c>
      <c r="E88" s="2" t="s">
        <v>40</v>
      </c>
      <c r="F88" s="2">
        <v>81</v>
      </c>
      <c r="G88" s="2">
        <v>17</v>
      </c>
      <c r="H88" s="2">
        <v>98</v>
      </c>
    </row>
    <row r="89" spans="1:8" x14ac:dyDescent="0.3">
      <c r="A89" s="8" t="s">
        <v>23</v>
      </c>
      <c r="B89" s="9">
        <v>3.155555555555555</v>
      </c>
      <c r="E89" s="2" t="s">
        <v>102</v>
      </c>
      <c r="F89" s="2">
        <v>83</v>
      </c>
      <c r="G89" s="2">
        <v>11</v>
      </c>
      <c r="H89" s="2">
        <v>94</v>
      </c>
    </row>
    <row r="90" spans="1:8" x14ac:dyDescent="0.3">
      <c r="A90" s="8" t="s">
        <v>32</v>
      </c>
      <c r="B90" s="9">
        <v>2.9166666666666674</v>
      </c>
      <c r="E90" s="2" t="s">
        <v>77</v>
      </c>
      <c r="F90" s="2">
        <v>63</v>
      </c>
      <c r="G90" s="2">
        <v>9</v>
      </c>
      <c r="H90" s="2">
        <v>72</v>
      </c>
    </row>
    <row r="91" spans="1:8" x14ac:dyDescent="0.3">
      <c r="A91" s="8" t="s">
        <v>122</v>
      </c>
      <c r="B91" s="9">
        <v>3.2666666666666671</v>
      </c>
      <c r="E91" s="2" t="s">
        <v>46</v>
      </c>
      <c r="F91" s="2">
        <v>78</v>
      </c>
      <c r="G91" s="2">
        <v>8</v>
      </c>
      <c r="H91" s="2">
        <v>86</v>
      </c>
    </row>
    <row r="92" spans="1:8" x14ac:dyDescent="0.3">
      <c r="A92" s="8" t="s">
        <v>34</v>
      </c>
      <c r="B92" s="9">
        <v>3.1346153846153846</v>
      </c>
      <c r="E92" s="2" t="s">
        <v>23</v>
      </c>
      <c r="F92" s="2">
        <v>93</v>
      </c>
      <c r="G92" s="2">
        <v>14</v>
      </c>
      <c r="H92" s="2">
        <v>107</v>
      </c>
    </row>
    <row r="93" spans="1:8" x14ac:dyDescent="0.3">
      <c r="A93" s="8" t="s">
        <v>38</v>
      </c>
      <c r="B93" s="9">
        <v>3.1870967741935492</v>
      </c>
      <c r="E93" s="2" t="s">
        <v>32</v>
      </c>
      <c r="F93" s="2">
        <v>75</v>
      </c>
      <c r="G93" s="2">
        <v>19</v>
      </c>
      <c r="H93" s="2">
        <v>94</v>
      </c>
    </row>
    <row r="94" spans="1:8" x14ac:dyDescent="0.3">
      <c r="A94" s="8" t="s">
        <v>56</v>
      </c>
      <c r="B94" s="9">
        <v>2.9624999999999995</v>
      </c>
      <c r="E94" s="2" t="s">
        <v>122</v>
      </c>
      <c r="F94" s="2">
        <v>67</v>
      </c>
      <c r="G94" s="2">
        <v>3</v>
      </c>
      <c r="H94" s="2">
        <v>70</v>
      </c>
    </row>
    <row r="95" spans="1:8" x14ac:dyDescent="0.3">
      <c r="A95" s="8" t="s">
        <v>1</v>
      </c>
      <c r="B95" s="9">
        <v>3.0476394849785398</v>
      </c>
      <c r="E95" s="2" t="s">
        <v>34</v>
      </c>
      <c r="F95" s="2">
        <v>61</v>
      </c>
      <c r="G95" s="2">
        <v>13</v>
      </c>
      <c r="H95" s="2">
        <v>74</v>
      </c>
    </row>
    <row r="96" spans="1:8" x14ac:dyDescent="0.3">
      <c r="E96" s="2" t="s">
        <v>38</v>
      </c>
      <c r="F96" s="2">
        <v>90</v>
      </c>
      <c r="G96" s="2">
        <v>10</v>
      </c>
      <c r="H96" s="2">
        <v>100</v>
      </c>
    </row>
    <row r="97" spans="5:8" x14ac:dyDescent="0.3">
      <c r="E97" s="2" t="s">
        <v>56</v>
      </c>
      <c r="F97" s="2">
        <v>76</v>
      </c>
      <c r="G97" s="2">
        <v>21</v>
      </c>
      <c r="H97" s="2">
        <v>97</v>
      </c>
    </row>
    <row r="98" spans="5:8" x14ac:dyDescent="0.3">
      <c r="E98" s="2" t="s">
        <v>1</v>
      </c>
      <c r="F98" s="2">
        <v>1908</v>
      </c>
      <c r="G98" s="2">
        <v>254</v>
      </c>
      <c r="H98" s="2">
        <v>2162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38B75-2A6F-4591-93A9-9EC6B10A4BD8}">
  <dimension ref="A1:Z80"/>
  <sheetViews>
    <sheetView tabSelected="1" zoomScale="86" workbookViewId="0">
      <selection activeCell="T6" sqref="T6"/>
    </sheetView>
  </sheetViews>
  <sheetFormatPr defaultRowHeight="14.4" x14ac:dyDescent="0.3"/>
  <cols>
    <col min="17" max="17" width="12.88671875" customWidth="1"/>
  </cols>
  <sheetData>
    <row r="1" spans="1:26" x14ac:dyDescent="0.3">
      <c r="A1" s="10"/>
      <c r="B1" s="10"/>
      <c r="C1" s="10"/>
      <c r="D1" s="10"/>
      <c r="E1" s="10"/>
      <c r="F1" s="10"/>
      <c r="G1" s="10"/>
      <c r="H1" s="10"/>
      <c r="I1" s="10"/>
      <c r="J1" s="10"/>
      <c r="K1" s="10"/>
      <c r="L1" s="10"/>
      <c r="M1" s="10"/>
      <c r="N1" s="10"/>
      <c r="O1" s="10"/>
      <c r="P1" s="10"/>
      <c r="Q1" s="10"/>
      <c r="R1" s="10"/>
      <c r="S1" s="10"/>
      <c r="T1" s="10"/>
      <c r="U1" s="10"/>
      <c r="V1" s="10"/>
      <c r="W1" s="10"/>
      <c r="X1" s="10"/>
      <c r="Y1" s="10"/>
      <c r="Z1" s="10"/>
    </row>
    <row r="2" spans="1:26" ht="18" x14ac:dyDescent="0.35">
      <c r="A2" s="10"/>
      <c r="B2" s="11" t="s">
        <v>766</v>
      </c>
      <c r="C2" s="10"/>
      <c r="D2" s="10"/>
      <c r="E2" s="10"/>
      <c r="F2" s="10"/>
      <c r="G2" s="10"/>
      <c r="H2" s="10"/>
      <c r="I2" s="10"/>
      <c r="J2" s="10"/>
      <c r="K2" s="10"/>
      <c r="L2" s="10"/>
      <c r="M2" s="10"/>
      <c r="N2" s="10"/>
      <c r="O2" s="10"/>
      <c r="P2" s="10"/>
      <c r="Q2" s="10"/>
      <c r="R2" s="10"/>
      <c r="S2" s="10"/>
      <c r="T2" s="10"/>
      <c r="U2" s="10"/>
      <c r="V2" s="10"/>
      <c r="W2" s="10"/>
      <c r="X2" s="10"/>
      <c r="Y2" s="10"/>
      <c r="Z2" s="10"/>
    </row>
    <row r="3" spans="1:26" x14ac:dyDescent="0.3">
      <c r="A3" s="10"/>
      <c r="B3" s="10"/>
      <c r="C3" s="10"/>
      <c r="D3" s="10"/>
      <c r="E3" s="10"/>
      <c r="F3" s="10"/>
      <c r="G3" s="10"/>
      <c r="H3" s="10"/>
      <c r="I3" s="10"/>
      <c r="J3" s="10"/>
      <c r="K3" s="10"/>
      <c r="L3" s="10"/>
      <c r="M3" s="10"/>
      <c r="N3" s="10"/>
      <c r="O3" s="10"/>
      <c r="P3" s="10"/>
      <c r="Q3" s="10"/>
      <c r="R3" s="10"/>
      <c r="S3" s="10"/>
      <c r="T3" s="10"/>
      <c r="U3" s="10"/>
      <c r="V3" s="10"/>
      <c r="W3" s="10"/>
      <c r="X3" s="10"/>
      <c r="Y3" s="10"/>
      <c r="Z3" s="10"/>
    </row>
    <row r="4" spans="1:26" ht="24.6" customHeight="1" x14ac:dyDescent="0.3">
      <c r="A4" s="12"/>
      <c r="B4" s="12"/>
      <c r="C4" s="12"/>
      <c r="D4" s="12"/>
      <c r="E4" s="12"/>
      <c r="F4" s="12"/>
      <c r="G4" s="12"/>
      <c r="H4" s="12"/>
      <c r="I4" s="12"/>
      <c r="J4" s="12"/>
      <c r="K4" s="12"/>
      <c r="L4" s="12"/>
      <c r="M4" s="12"/>
      <c r="N4" s="12"/>
      <c r="O4" s="12"/>
      <c r="P4" s="12"/>
      <c r="Q4" s="12"/>
      <c r="R4" s="12"/>
      <c r="S4" s="12"/>
      <c r="T4" s="12"/>
      <c r="U4" s="12"/>
      <c r="V4" s="12"/>
      <c r="W4" s="12"/>
      <c r="X4" s="12"/>
      <c r="Y4" s="12"/>
      <c r="Z4" s="12"/>
    </row>
    <row r="5" spans="1:26" ht="11.4" customHeight="1" x14ac:dyDescent="0.35">
      <c r="A5" s="13"/>
      <c r="B5" s="13"/>
      <c r="C5" s="13"/>
      <c r="D5" s="13"/>
      <c r="E5" s="13"/>
      <c r="F5" s="17"/>
      <c r="G5" s="18"/>
      <c r="H5" s="18"/>
      <c r="I5" s="18"/>
      <c r="J5" s="18"/>
      <c r="K5" s="18"/>
      <c r="L5" s="18"/>
      <c r="M5" s="18"/>
      <c r="N5" s="18"/>
      <c r="O5" s="18"/>
      <c r="P5" s="18"/>
      <c r="Q5" s="18"/>
      <c r="R5" s="18"/>
      <c r="S5" s="18"/>
      <c r="T5" s="18"/>
      <c r="U5" s="18"/>
      <c r="V5" s="18"/>
      <c r="W5" s="18"/>
      <c r="X5" s="18"/>
      <c r="Y5" s="18"/>
      <c r="Z5" s="18"/>
    </row>
    <row r="6" spans="1:26" x14ac:dyDescent="0.3">
      <c r="A6" s="13"/>
      <c r="B6" s="13"/>
      <c r="C6" s="13"/>
      <c r="D6" s="13"/>
      <c r="E6" s="13"/>
      <c r="F6" s="19">
        <f>COUNTIF(Flipkart_Sales_Data!A:A,"*")</f>
        <v>700</v>
      </c>
      <c r="G6" s="18"/>
      <c r="H6" s="19">
        <f>COUNTA(_xlfn.UNIQUE(Flipkart_Sales_Data!B:B))</f>
        <v>27</v>
      </c>
      <c r="I6" s="18"/>
      <c r="J6" s="18"/>
      <c r="K6" s="19">
        <f>COUNTA(_xlfn.UNIQUE(Flipkart_Sales_Data!C:C))</f>
        <v>7</v>
      </c>
      <c r="L6" s="18"/>
      <c r="M6" s="18"/>
      <c r="N6" s="19">
        <f>SUM(Flipkart_Sales_Data!E:E)</f>
        <v>2162</v>
      </c>
      <c r="O6" s="18"/>
      <c r="P6" s="18"/>
      <c r="Q6" s="20">
        <f>SUM(Flipkart_Sales_Data!F:F)</f>
        <v>53378505.270000018</v>
      </c>
      <c r="R6" s="20"/>
      <c r="S6" s="18"/>
      <c r="T6" s="21">
        <f>AVERAGE(Flipkart_Sales_Data!I:I)</f>
        <v>3.0476394849785429</v>
      </c>
      <c r="U6" s="21"/>
      <c r="V6" s="18"/>
      <c r="W6" s="18"/>
      <c r="X6" s="18"/>
      <c r="Y6" s="18"/>
      <c r="Z6" s="18"/>
    </row>
    <row r="7" spans="1:26" x14ac:dyDescent="0.3">
      <c r="A7" s="13"/>
      <c r="B7" s="13"/>
      <c r="C7" s="13"/>
      <c r="D7" s="13"/>
      <c r="E7" s="13"/>
      <c r="F7" s="18"/>
      <c r="G7" s="18"/>
      <c r="H7" s="18"/>
      <c r="I7" s="18"/>
      <c r="J7" s="18"/>
      <c r="K7" s="18"/>
      <c r="L7" s="18"/>
      <c r="M7" s="18"/>
      <c r="N7" s="18"/>
      <c r="O7" s="18"/>
      <c r="P7" s="18"/>
      <c r="Q7" s="18"/>
      <c r="R7" s="18"/>
      <c r="S7" s="18"/>
      <c r="T7" s="18"/>
      <c r="U7" s="18"/>
      <c r="V7" s="18"/>
      <c r="W7" s="18"/>
      <c r="X7" s="18"/>
      <c r="Y7" s="18"/>
      <c r="Z7" s="18"/>
    </row>
    <row r="8" spans="1:26" x14ac:dyDescent="0.3">
      <c r="A8" s="13"/>
      <c r="B8" s="13"/>
      <c r="C8" s="13"/>
      <c r="D8" s="13"/>
      <c r="E8" s="13"/>
      <c r="F8" s="19" t="s">
        <v>771</v>
      </c>
      <c r="G8" s="18"/>
      <c r="H8" s="19" t="s">
        <v>770</v>
      </c>
      <c r="I8" s="18"/>
      <c r="J8" s="18"/>
      <c r="K8" s="19" t="s">
        <v>772</v>
      </c>
      <c r="L8" s="18"/>
      <c r="M8" s="18"/>
      <c r="N8" s="19" t="s">
        <v>773</v>
      </c>
      <c r="O8" s="18"/>
      <c r="P8" s="18"/>
      <c r="Q8" s="19" t="s">
        <v>774</v>
      </c>
      <c r="R8" s="19"/>
      <c r="S8" s="18"/>
      <c r="T8" s="19" t="s">
        <v>775</v>
      </c>
      <c r="U8" s="19"/>
      <c r="V8" s="18"/>
      <c r="W8" s="18"/>
      <c r="X8" s="18"/>
      <c r="Y8" s="18"/>
      <c r="Z8" s="18"/>
    </row>
    <row r="9" spans="1:26" x14ac:dyDescent="0.3">
      <c r="A9" s="13"/>
      <c r="B9" s="13"/>
      <c r="C9" s="13"/>
      <c r="D9" s="13"/>
      <c r="E9" s="13"/>
      <c r="F9" s="18"/>
      <c r="G9" s="18"/>
      <c r="H9" s="18"/>
      <c r="I9" s="18"/>
      <c r="J9" s="18"/>
      <c r="K9" s="18"/>
      <c r="L9" s="18"/>
      <c r="M9" s="18"/>
      <c r="N9" s="18"/>
      <c r="O9" s="18"/>
      <c r="P9" s="18"/>
      <c r="Q9" s="18"/>
      <c r="R9" s="18"/>
      <c r="S9" s="18"/>
      <c r="T9" s="18"/>
      <c r="U9" s="18"/>
      <c r="V9" s="18"/>
      <c r="W9" s="18"/>
      <c r="X9" s="18"/>
      <c r="Y9" s="18"/>
      <c r="Z9" s="18"/>
    </row>
    <row r="10" spans="1:26" x14ac:dyDescent="0.3">
      <c r="A10" s="13"/>
      <c r="B10" s="13"/>
      <c r="C10" s="13"/>
      <c r="D10" s="13"/>
      <c r="E10" s="13"/>
      <c r="F10" s="22"/>
      <c r="G10" s="23" t="s">
        <v>776</v>
      </c>
      <c r="H10" s="22"/>
      <c r="I10" s="22"/>
      <c r="J10" s="22"/>
      <c r="K10" s="22"/>
      <c r="L10" s="22"/>
      <c r="M10" s="22"/>
      <c r="N10" s="23" t="s">
        <v>777</v>
      </c>
      <c r="O10" s="22"/>
      <c r="P10" s="22"/>
      <c r="Q10" s="23"/>
      <c r="R10" s="22"/>
      <c r="S10" s="22"/>
      <c r="T10" s="22"/>
      <c r="U10" s="23" t="s">
        <v>778</v>
      </c>
      <c r="V10" s="22"/>
      <c r="W10" s="22"/>
      <c r="X10" s="22"/>
      <c r="Y10" s="22"/>
      <c r="Z10" s="22"/>
    </row>
    <row r="11" spans="1:26" x14ac:dyDescent="0.3">
      <c r="A11" s="13"/>
      <c r="B11" s="13"/>
      <c r="C11" s="13"/>
      <c r="D11" s="13"/>
      <c r="E11" s="13"/>
      <c r="F11" s="18"/>
      <c r="G11" s="18"/>
      <c r="H11" s="18"/>
      <c r="I11" s="18"/>
      <c r="J11" s="18"/>
      <c r="K11" s="18"/>
      <c r="L11" s="18"/>
      <c r="M11" s="18"/>
      <c r="N11" s="18"/>
      <c r="O11" s="18"/>
      <c r="P11" s="18"/>
      <c r="Q11" s="18"/>
      <c r="R11" s="18"/>
      <c r="S11" s="18"/>
      <c r="T11" s="18"/>
      <c r="U11" s="18"/>
      <c r="V11" s="18"/>
      <c r="W11" s="18"/>
      <c r="X11" s="18"/>
      <c r="Y11" s="18"/>
      <c r="Z11" s="18"/>
    </row>
    <row r="12" spans="1:26" x14ac:dyDescent="0.3">
      <c r="A12" s="13"/>
      <c r="B12" s="13"/>
      <c r="C12" s="13"/>
      <c r="D12" s="13"/>
      <c r="E12" s="13"/>
      <c r="F12" s="18"/>
      <c r="G12" s="18"/>
      <c r="H12" s="18"/>
      <c r="I12" s="18"/>
      <c r="J12" s="18"/>
      <c r="K12" s="18"/>
      <c r="L12" s="18"/>
      <c r="M12" s="18"/>
      <c r="N12" s="18"/>
      <c r="O12" s="18"/>
      <c r="P12" s="18"/>
      <c r="Q12" s="18"/>
      <c r="R12" s="18"/>
      <c r="S12" s="18"/>
      <c r="T12" s="18"/>
      <c r="U12" s="18"/>
      <c r="V12" s="18"/>
      <c r="W12" s="18"/>
      <c r="X12" s="18"/>
      <c r="Y12" s="18"/>
      <c r="Z12" s="18"/>
    </row>
    <row r="13" spans="1:26" x14ac:dyDescent="0.3">
      <c r="A13" s="13"/>
      <c r="B13" s="13"/>
      <c r="C13" s="13"/>
      <c r="D13" s="13"/>
      <c r="E13" s="13"/>
      <c r="F13" s="18"/>
      <c r="G13" s="18"/>
      <c r="H13" s="18"/>
      <c r="I13" s="18"/>
      <c r="J13" s="18"/>
      <c r="K13" s="18"/>
      <c r="L13" s="18"/>
      <c r="M13" s="18"/>
      <c r="N13" s="18"/>
      <c r="O13" s="18"/>
      <c r="P13" s="18"/>
      <c r="Q13" s="18"/>
      <c r="R13" s="18"/>
      <c r="S13" s="18"/>
      <c r="T13" s="18"/>
      <c r="U13" s="18"/>
      <c r="V13" s="18"/>
      <c r="W13" s="18"/>
      <c r="X13" s="18"/>
      <c r="Y13" s="18"/>
      <c r="Z13" s="18"/>
    </row>
    <row r="14" spans="1:26" x14ac:dyDescent="0.3">
      <c r="A14" s="13"/>
      <c r="B14" s="13"/>
      <c r="C14" s="13"/>
      <c r="D14" s="13"/>
      <c r="E14" s="13"/>
      <c r="F14" s="18"/>
      <c r="G14" s="18"/>
      <c r="H14" s="18"/>
      <c r="I14" s="18"/>
      <c r="J14" s="18"/>
      <c r="K14" s="18"/>
      <c r="L14" s="18"/>
      <c r="M14" s="18"/>
      <c r="N14" s="18"/>
      <c r="O14" s="18"/>
      <c r="P14" s="18"/>
      <c r="Q14" s="18"/>
      <c r="R14" s="18"/>
      <c r="S14" s="18"/>
      <c r="T14" s="18"/>
      <c r="U14" s="18"/>
      <c r="V14" s="18"/>
      <c r="W14" s="18"/>
      <c r="X14" s="18"/>
      <c r="Y14" s="18"/>
      <c r="Z14" s="18"/>
    </row>
    <row r="15" spans="1:26" x14ac:dyDescent="0.3">
      <c r="A15" s="13"/>
      <c r="B15" s="13"/>
      <c r="C15" s="13"/>
      <c r="D15" s="13"/>
      <c r="E15" s="13"/>
      <c r="F15" s="18"/>
      <c r="G15" s="18"/>
      <c r="H15" s="18"/>
      <c r="I15" s="18"/>
      <c r="J15" s="18"/>
      <c r="K15" s="18"/>
      <c r="L15" s="18"/>
      <c r="M15" s="18"/>
      <c r="N15" s="18"/>
      <c r="O15" s="18"/>
      <c r="P15" s="18"/>
      <c r="Q15" s="18"/>
      <c r="R15" s="18"/>
      <c r="S15" s="18"/>
      <c r="T15" s="18"/>
      <c r="U15" s="18"/>
      <c r="V15" s="18"/>
      <c r="W15" s="18"/>
      <c r="X15" s="18"/>
      <c r="Y15" s="18"/>
      <c r="Z15" s="18"/>
    </row>
    <row r="16" spans="1:26" x14ac:dyDescent="0.3">
      <c r="A16" s="13"/>
      <c r="B16" s="13"/>
      <c r="C16" s="13"/>
      <c r="D16" s="13"/>
      <c r="E16" s="13"/>
      <c r="F16" s="18"/>
      <c r="G16" s="18"/>
      <c r="H16" s="18"/>
      <c r="I16" s="18"/>
      <c r="J16" s="18"/>
      <c r="K16" s="18"/>
      <c r="L16" s="18"/>
      <c r="M16" s="18"/>
      <c r="N16" s="18"/>
      <c r="O16" s="18"/>
      <c r="P16" s="18"/>
      <c r="Q16" s="18"/>
      <c r="R16" s="18"/>
      <c r="S16" s="18"/>
      <c r="T16" s="18"/>
      <c r="U16" s="18"/>
      <c r="V16" s="18"/>
      <c r="W16" s="18"/>
      <c r="X16" s="18"/>
      <c r="Y16" s="18"/>
      <c r="Z16" s="18"/>
    </row>
    <row r="17" spans="1:26" x14ac:dyDescent="0.3">
      <c r="A17" s="13"/>
      <c r="B17" s="13"/>
      <c r="C17" s="13"/>
      <c r="D17" s="13"/>
      <c r="E17" s="13"/>
      <c r="F17" s="18"/>
      <c r="G17" s="18"/>
      <c r="H17" s="18"/>
      <c r="I17" s="18"/>
      <c r="J17" s="18"/>
      <c r="K17" s="18"/>
      <c r="L17" s="18"/>
      <c r="M17" s="18"/>
      <c r="N17" s="18"/>
      <c r="O17" s="18"/>
      <c r="P17" s="18"/>
      <c r="Q17" s="18"/>
      <c r="R17" s="18"/>
      <c r="S17" s="18"/>
      <c r="T17" s="18"/>
      <c r="U17" s="18"/>
      <c r="V17" s="18"/>
      <c r="W17" s="18"/>
      <c r="X17" s="18"/>
      <c r="Y17" s="18"/>
      <c r="Z17" s="18"/>
    </row>
    <row r="18" spans="1:26" x14ac:dyDescent="0.3">
      <c r="A18" s="13"/>
      <c r="B18" s="13"/>
      <c r="C18" s="13"/>
      <c r="D18" s="13"/>
      <c r="E18" s="13"/>
      <c r="F18" s="18"/>
      <c r="G18" s="18"/>
      <c r="H18" s="18"/>
      <c r="I18" s="18"/>
      <c r="J18" s="18"/>
      <c r="K18" s="18"/>
      <c r="L18" s="18"/>
      <c r="M18" s="18"/>
      <c r="N18" s="18"/>
      <c r="O18" s="18"/>
      <c r="P18" s="18"/>
      <c r="Q18" s="18"/>
      <c r="R18" s="18"/>
      <c r="S18" s="18"/>
      <c r="T18" s="18"/>
      <c r="U18" s="18"/>
      <c r="V18" s="18"/>
      <c r="W18" s="18"/>
      <c r="X18" s="18"/>
      <c r="Y18" s="18"/>
      <c r="Z18" s="18"/>
    </row>
    <row r="19" spans="1:26" x14ac:dyDescent="0.3">
      <c r="A19" s="13"/>
      <c r="B19" s="13"/>
      <c r="C19" s="13"/>
      <c r="D19" s="13"/>
      <c r="E19" s="13"/>
      <c r="F19" s="18"/>
      <c r="G19" s="18"/>
      <c r="H19" s="18"/>
      <c r="I19" s="18"/>
      <c r="J19" s="18"/>
      <c r="K19" s="18"/>
      <c r="L19" s="18"/>
      <c r="M19" s="18"/>
      <c r="N19" s="18"/>
      <c r="O19" s="18"/>
      <c r="P19" s="18"/>
      <c r="Q19" s="18"/>
      <c r="R19" s="18"/>
      <c r="S19" s="18"/>
      <c r="T19" s="18"/>
      <c r="U19" s="18"/>
      <c r="V19" s="18"/>
      <c r="W19" s="18"/>
      <c r="X19" s="18"/>
      <c r="Y19" s="18"/>
      <c r="Z19" s="18"/>
    </row>
    <row r="20" spans="1:26" x14ac:dyDescent="0.3">
      <c r="A20" s="13"/>
      <c r="B20" s="13"/>
      <c r="C20" s="13"/>
      <c r="D20" s="13"/>
      <c r="E20" s="13"/>
      <c r="F20" s="18"/>
      <c r="G20" s="18"/>
      <c r="H20" s="18"/>
      <c r="I20" s="18"/>
      <c r="J20" s="18"/>
      <c r="K20" s="18"/>
      <c r="L20" s="18"/>
      <c r="M20" s="18"/>
      <c r="N20" s="18"/>
      <c r="O20" s="18"/>
      <c r="P20" s="18"/>
      <c r="Q20" s="18"/>
      <c r="R20" s="18"/>
      <c r="S20" s="18"/>
      <c r="T20" s="18"/>
      <c r="U20" s="18"/>
      <c r="V20" s="18"/>
      <c r="W20" s="18"/>
      <c r="X20" s="18"/>
      <c r="Y20" s="18"/>
      <c r="Z20" s="18"/>
    </row>
    <row r="21" spans="1:26" x14ac:dyDescent="0.3">
      <c r="A21" s="13"/>
      <c r="B21" s="13"/>
      <c r="C21" s="13"/>
      <c r="D21" s="13"/>
      <c r="E21" s="13"/>
      <c r="F21" s="18"/>
      <c r="G21" s="18"/>
      <c r="H21" s="18"/>
      <c r="I21" s="18"/>
      <c r="J21" s="18"/>
      <c r="K21" s="18"/>
      <c r="L21" s="18"/>
      <c r="M21" s="18"/>
      <c r="N21" s="18"/>
      <c r="O21" s="18"/>
      <c r="P21" s="18"/>
      <c r="Q21" s="18"/>
      <c r="R21" s="18"/>
      <c r="S21" s="18"/>
      <c r="T21" s="18"/>
      <c r="U21" s="18"/>
      <c r="V21" s="18"/>
      <c r="W21" s="18"/>
      <c r="X21" s="18"/>
      <c r="Y21" s="18"/>
      <c r="Z21" s="18"/>
    </row>
    <row r="22" spans="1:26" x14ac:dyDescent="0.3">
      <c r="A22" s="13"/>
      <c r="B22" s="13"/>
      <c r="C22" s="13"/>
      <c r="D22" s="13"/>
      <c r="E22" s="13"/>
      <c r="F22" s="18"/>
      <c r="G22" s="18"/>
      <c r="H22" s="18"/>
      <c r="I22" s="18"/>
      <c r="J22" s="18"/>
      <c r="K22" s="18"/>
      <c r="L22" s="18"/>
      <c r="M22" s="18"/>
      <c r="N22" s="18"/>
      <c r="O22" s="18"/>
      <c r="P22" s="18"/>
      <c r="Q22" s="18"/>
      <c r="R22" s="18"/>
      <c r="S22" s="18"/>
      <c r="T22" s="18"/>
      <c r="U22" s="18"/>
      <c r="V22" s="18"/>
      <c r="W22" s="18"/>
      <c r="X22" s="18"/>
      <c r="Y22" s="18"/>
      <c r="Z22" s="18"/>
    </row>
    <row r="23" spans="1:26" x14ac:dyDescent="0.3">
      <c r="A23" s="13"/>
      <c r="B23" s="13"/>
      <c r="C23" s="13"/>
      <c r="D23" s="13"/>
      <c r="E23" s="13"/>
      <c r="F23" s="18"/>
      <c r="G23" s="18"/>
      <c r="H23" s="18"/>
      <c r="I23" s="18"/>
      <c r="J23" s="18"/>
      <c r="K23" s="18"/>
      <c r="L23" s="18"/>
      <c r="M23" s="18"/>
      <c r="N23" s="18"/>
      <c r="O23" s="18"/>
      <c r="P23" s="18"/>
      <c r="Q23" s="18"/>
      <c r="R23" s="18"/>
      <c r="S23" s="18"/>
      <c r="T23" s="18"/>
      <c r="U23" s="18"/>
      <c r="V23" s="18"/>
      <c r="W23" s="18"/>
      <c r="X23" s="18"/>
      <c r="Y23" s="18"/>
      <c r="Z23" s="18"/>
    </row>
    <row r="24" spans="1:26" x14ac:dyDescent="0.3">
      <c r="A24" s="13"/>
      <c r="B24" s="13"/>
      <c r="C24" s="13"/>
      <c r="D24" s="13"/>
      <c r="E24" s="13"/>
      <c r="F24" s="18"/>
      <c r="G24" s="18"/>
      <c r="H24" s="18"/>
      <c r="I24" s="18"/>
      <c r="J24" s="18"/>
      <c r="K24" s="18"/>
      <c r="L24" s="18"/>
      <c r="M24" s="18"/>
      <c r="N24" s="18"/>
      <c r="O24" s="18"/>
      <c r="P24" s="18"/>
      <c r="Q24" s="18"/>
      <c r="R24" s="18"/>
      <c r="S24" s="18"/>
      <c r="T24" s="18"/>
      <c r="U24" s="18"/>
      <c r="V24" s="18"/>
      <c r="W24" s="18"/>
      <c r="X24" s="18"/>
      <c r="Y24" s="18"/>
      <c r="Z24" s="18"/>
    </row>
    <row r="25" spans="1:26" x14ac:dyDescent="0.3">
      <c r="A25" s="13"/>
      <c r="B25" s="13"/>
      <c r="C25" s="13"/>
      <c r="D25" s="13"/>
      <c r="E25" s="13"/>
      <c r="F25" s="18"/>
      <c r="G25" s="18"/>
      <c r="H25" s="18"/>
      <c r="I25" s="18"/>
      <c r="J25" s="18"/>
      <c r="K25" s="18"/>
      <c r="L25" s="18"/>
      <c r="M25" s="18"/>
      <c r="N25" s="18"/>
      <c r="O25" s="18"/>
      <c r="P25" s="18"/>
      <c r="Q25" s="18"/>
      <c r="R25" s="18"/>
      <c r="S25" s="18"/>
      <c r="T25" s="18"/>
      <c r="U25" s="18"/>
      <c r="V25" s="18"/>
      <c r="W25" s="18"/>
      <c r="X25" s="18"/>
      <c r="Y25" s="18"/>
      <c r="Z25" s="18"/>
    </row>
    <row r="26" spans="1:26" x14ac:dyDescent="0.3">
      <c r="A26" s="13"/>
      <c r="B26" s="13"/>
      <c r="C26" s="13"/>
      <c r="D26" s="13"/>
      <c r="E26" s="13"/>
      <c r="F26" s="18"/>
      <c r="G26" s="18"/>
      <c r="H26" s="18"/>
      <c r="I26" s="18"/>
      <c r="J26" s="18"/>
      <c r="K26" s="18"/>
      <c r="L26" s="18"/>
      <c r="M26" s="18"/>
      <c r="N26" s="18"/>
      <c r="O26" s="18"/>
      <c r="P26" s="18"/>
      <c r="Q26" s="18"/>
      <c r="R26" s="18"/>
      <c r="S26" s="18"/>
      <c r="T26" s="18"/>
      <c r="U26" s="18"/>
      <c r="V26" s="18"/>
      <c r="W26" s="18"/>
      <c r="X26" s="18"/>
      <c r="Y26" s="18"/>
      <c r="Z26" s="18"/>
    </row>
    <row r="27" spans="1:26" x14ac:dyDescent="0.3">
      <c r="A27" s="13"/>
      <c r="B27" s="13"/>
      <c r="C27" s="13"/>
      <c r="D27" s="13"/>
      <c r="E27" s="13"/>
      <c r="F27" s="18"/>
      <c r="G27" s="18"/>
      <c r="H27" s="18"/>
      <c r="I27" s="18"/>
      <c r="J27" s="18"/>
      <c r="K27" s="18"/>
      <c r="L27" s="18"/>
      <c r="M27" s="18"/>
      <c r="N27" s="18"/>
      <c r="O27" s="18"/>
      <c r="P27" s="18"/>
      <c r="Q27" s="18"/>
      <c r="R27" s="18"/>
      <c r="S27" s="18"/>
      <c r="T27" s="18"/>
      <c r="U27" s="18"/>
      <c r="V27" s="18"/>
      <c r="W27" s="18"/>
      <c r="X27" s="18"/>
      <c r="Y27" s="18"/>
      <c r="Z27" s="18"/>
    </row>
    <row r="28" spans="1:26" x14ac:dyDescent="0.3">
      <c r="A28" s="13"/>
      <c r="B28" s="13"/>
      <c r="C28" s="13"/>
      <c r="D28" s="13"/>
      <c r="E28" s="13"/>
      <c r="F28" s="18"/>
      <c r="G28" s="18"/>
      <c r="H28" s="18"/>
      <c r="I28" s="18"/>
      <c r="J28" s="18"/>
      <c r="K28" s="18"/>
      <c r="L28" s="18"/>
      <c r="M28" s="18"/>
      <c r="N28" s="18"/>
      <c r="O28" s="18"/>
      <c r="P28" s="18"/>
      <c r="Q28" s="18"/>
      <c r="R28" s="18"/>
      <c r="S28" s="18"/>
      <c r="T28" s="18"/>
      <c r="U28" s="18"/>
      <c r="V28" s="18"/>
      <c r="W28" s="18"/>
      <c r="X28" s="18"/>
      <c r="Y28" s="18"/>
      <c r="Z28" s="18"/>
    </row>
    <row r="29" spans="1:26" x14ac:dyDescent="0.3">
      <c r="A29" s="13"/>
      <c r="B29" s="13"/>
      <c r="C29" s="13"/>
      <c r="D29" s="13"/>
      <c r="E29" s="13"/>
      <c r="F29" s="22"/>
      <c r="G29" s="23" t="s">
        <v>779</v>
      </c>
      <c r="H29" s="22"/>
      <c r="I29" s="22"/>
      <c r="J29" s="22"/>
      <c r="K29" s="22"/>
      <c r="L29" s="22"/>
      <c r="M29" s="22"/>
      <c r="N29" s="23" t="s">
        <v>780</v>
      </c>
      <c r="O29" s="22"/>
      <c r="P29" s="22"/>
      <c r="Q29" s="22"/>
      <c r="R29" s="22"/>
      <c r="S29" s="22"/>
      <c r="T29" s="22"/>
      <c r="U29" s="23" t="s">
        <v>781</v>
      </c>
      <c r="V29" s="22"/>
      <c r="W29" s="22"/>
      <c r="X29" s="22"/>
      <c r="Y29" s="22"/>
      <c r="Z29" s="22"/>
    </row>
    <row r="30" spans="1:26" x14ac:dyDescent="0.3">
      <c r="A30" s="13"/>
      <c r="B30" s="13"/>
      <c r="C30" s="13"/>
      <c r="D30" s="13"/>
      <c r="E30" s="13"/>
      <c r="F30" s="18"/>
      <c r="G30" s="18"/>
      <c r="H30" s="18"/>
      <c r="I30" s="18"/>
      <c r="J30" s="18"/>
      <c r="K30" s="18"/>
      <c r="L30" s="18"/>
      <c r="M30" s="18"/>
      <c r="N30" s="18"/>
      <c r="O30" s="18"/>
      <c r="P30" s="18"/>
      <c r="Q30" s="18"/>
      <c r="R30" s="18"/>
      <c r="S30" s="18"/>
      <c r="T30" s="18"/>
      <c r="U30" s="18"/>
      <c r="V30" s="18"/>
      <c r="W30" s="18"/>
      <c r="X30" s="18"/>
      <c r="Y30" s="18"/>
      <c r="Z30" s="18"/>
    </row>
    <row r="31" spans="1:26" x14ac:dyDescent="0.3">
      <c r="A31" s="13"/>
      <c r="B31" s="13"/>
      <c r="C31" s="13"/>
      <c r="D31" s="13"/>
      <c r="E31" s="13"/>
      <c r="F31" s="18"/>
      <c r="G31" s="18"/>
      <c r="H31" s="18"/>
      <c r="I31" s="18"/>
      <c r="J31" s="18"/>
      <c r="K31" s="18"/>
      <c r="L31" s="18"/>
      <c r="M31" s="18"/>
      <c r="N31" s="18"/>
      <c r="O31" s="18"/>
      <c r="P31" s="18"/>
      <c r="Q31" s="18"/>
      <c r="R31" s="18"/>
      <c r="S31" s="18"/>
      <c r="T31" s="18"/>
      <c r="U31" s="18"/>
      <c r="V31" s="18"/>
      <c r="W31" s="18"/>
      <c r="X31" s="18"/>
      <c r="Y31" s="18"/>
      <c r="Z31" s="18"/>
    </row>
    <row r="32" spans="1:26" x14ac:dyDescent="0.3">
      <c r="A32" s="13"/>
      <c r="B32" s="13"/>
      <c r="C32" s="13"/>
      <c r="D32" s="13"/>
      <c r="E32" s="13"/>
      <c r="F32" s="18"/>
      <c r="G32" s="18"/>
      <c r="H32" s="18"/>
      <c r="I32" s="18"/>
      <c r="J32" s="18"/>
      <c r="K32" s="18"/>
      <c r="L32" s="18"/>
      <c r="M32" s="18"/>
      <c r="N32" s="18"/>
      <c r="O32" s="18"/>
      <c r="P32" s="18"/>
      <c r="Q32" s="18"/>
      <c r="R32" s="18"/>
      <c r="S32" s="18"/>
      <c r="T32" s="18"/>
      <c r="U32" s="18"/>
      <c r="V32" s="18"/>
      <c r="W32" s="18"/>
      <c r="X32" s="18"/>
      <c r="Y32" s="18"/>
      <c r="Z32" s="18"/>
    </row>
    <row r="33" spans="1:26" x14ac:dyDescent="0.3">
      <c r="A33" s="13"/>
      <c r="B33" s="13"/>
      <c r="C33" s="13"/>
      <c r="D33" s="13"/>
      <c r="E33" s="13"/>
      <c r="F33" s="18"/>
      <c r="G33" s="18"/>
      <c r="H33" s="18"/>
      <c r="I33" s="18"/>
      <c r="J33" s="18"/>
      <c r="K33" s="18"/>
      <c r="L33" s="18"/>
      <c r="M33" s="18"/>
      <c r="N33" s="18"/>
      <c r="O33" s="18"/>
      <c r="P33" s="18"/>
      <c r="Q33" s="18"/>
      <c r="R33" s="18"/>
      <c r="S33" s="18"/>
      <c r="T33" s="18"/>
      <c r="U33" s="18"/>
      <c r="V33" s="18"/>
      <c r="W33" s="18"/>
      <c r="X33" s="18"/>
      <c r="Y33" s="18"/>
      <c r="Z33" s="18"/>
    </row>
    <row r="34" spans="1:26" x14ac:dyDescent="0.3">
      <c r="A34" s="13"/>
      <c r="B34" s="13"/>
      <c r="C34" s="13"/>
      <c r="D34" s="13"/>
      <c r="E34" s="13"/>
      <c r="F34" s="18"/>
      <c r="G34" s="18"/>
      <c r="H34" s="18"/>
      <c r="I34" s="18"/>
      <c r="J34" s="18"/>
      <c r="K34" s="18"/>
      <c r="L34" s="18"/>
      <c r="M34" s="18"/>
      <c r="N34" s="18"/>
      <c r="O34" s="18"/>
      <c r="P34" s="18"/>
      <c r="Q34" s="18"/>
      <c r="R34" s="18"/>
      <c r="S34" s="18"/>
      <c r="T34" s="18"/>
      <c r="U34" s="18"/>
      <c r="V34" s="18"/>
      <c r="W34" s="18"/>
      <c r="X34" s="18"/>
      <c r="Y34" s="18"/>
      <c r="Z34" s="18"/>
    </row>
    <row r="35" spans="1:26" x14ac:dyDescent="0.3">
      <c r="A35" s="13"/>
      <c r="B35" s="13"/>
      <c r="C35" s="13"/>
      <c r="D35" s="13"/>
      <c r="E35" s="13"/>
      <c r="F35" s="18"/>
      <c r="G35" s="18"/>
      <c r="H35" s="18"/>
      <c r="I35" s="18"/>
      <c r="J35" s="18"/>
      <c r="K35" s="18"/>
      <c r="L35" s="18"/>
      <c r="M35" s="18"/>
      <c r="N35" s="18"/>
      <c r="O35" s="18"/>
      <c r="P35" s="18"/>
      <c r="Q35" s="18"/>
      <c r="R35" s="18"/>
      <c r="S35" s="18"/>
      <c r="T35" s="18"/>
      <c r="U35" s="18"/>
      <c r="V35" s="18"/>
      <c r="W35" s="18"/>
      <c r="X35" s="18"/>
      <c r="Y35" s="18"/>
      <c r="Z35" s="18"/>
    </row>
    <row r="36" spans="1:26" x14ac:dyDescent="0.3">
      <c r="A36" s="13"/>
      <c r="B36" s="13"/>
      <c r="C36" s="13"/>
      <c r="D36" s="13"/>
      <c r="E36" s="13"/>
      <c r="F36" s="18"/>
      <c r="G36" s="18"/>
      <c r="H36" s="18"/>
      <c r="I36" s="18"/>
      <c r="J36" s="18"/>
      <c r="K36" s="18"/>
      <c r="L36" s="18"/>
      <c r="M36" s="18"/>
      <c r="N36" s="18"/>
      <c r="O36" s="18"/>
      <c r="P36" s="18"/>
      <c r="Q36" s="18"/>
      <c r="R36" s="18"/>
      <c r="S36" s="18"/>
      <c r="T36" s="18"/>
      <c r="U36" s="18"/>
      <c r="V36" s="18"/>
      <c r="W36" s="18"/>
      <c r="X36" s="18"/>
      <c r="Y36" s="18"/>
      <c r="Z36" s="18"/>
    </row>
    <row r="37" spans="1:26" x14ac:dyDescent="0.3">
      <c r="A37" s="13"/>
      <c r="B37" s="13"/>
      <c r="C37" s="13"/>
      <c r="D37" s="13"/>
      <c r="E37" s="13"/>
      <c r="F37" s="18"/>
      <c r="G37" s="18"/>
      <c r="H37" s="18"/>
      <c r="I37" s="18"/>
      <c r="J37" s="18"/>
      <c r="K37" s="18"/>
      <c r="L37" s="18"/>
      <c r="M37" s="18"/>
      <c r="N37" s="18"/>
      <c r="O37" s="18"/>
      <c r="P37" s="18"/>
      <c r="Q37" s="18"/>
      <c r="R37" s="18"/>
      <c r="S37" s="18"/>
      <c r="T37" s="18"/>
      <c r="U37" s="18"/>
      <c r="V37" s="18"/>
      <c r="W37" s="18"/>
      <c r="X37" s="18"/>
      <c r="Y37" s="18"/>
      <c r="Z37" s="18"/>
    </row>
    <row r="38" spans="1:26" x14ac:dyDescent="0.3">
      <c r="A38" s="13"/>
      <c r="B38" s="13"/>
      <c r="C38" s="13"/>
      <c r="D38" s="13"/>
      <c r="E38" s="13"/>
      <c r="F38" s="18"/>
      <c r="G38" s="18"/>
      <c r="H38" s="18"/>
      <c r="I38" s="18"/>
      <c r="J38" s="18"/>
      <c r="K38" s="18"/>
      <c r="L38" s="18"/>
      <c r="M38" s="18"/>
      <c r="N38" s="18"/>
      <c r="O38" s="18"/>
      <c r="P38" s="18"/>
      <c r="Q38" s="18"/>
      <c r="R38" s="18"/>
      <c r="S38" s="18"/>
      <c r="T38" s="18"/>
      <c r="U38" s="18"/>
      <c r="V38" s="18"/>
      <c r="W38" s="18"/>
      <c r="X38" s="18"/>
      <c r="Y38" s="18"/>
      <c r="Z38" s="18"/>
    </row>
    <row r="39" spans="1:26" x14ac:dyDescent="0.3">
      <c r="A39" s="13"/>
      <c r="B39" s="13"/>
      <c r="C39" s="13"/>
      <c r="D39" s="13"/>
      <c r="E39" s="13"/>
      <c r="F39" s="18"/>
      <c r="G39" s="18"/>
      <c r="H39" s="18"/>
      <c r="I39" s="18"/>
      <c r="J39" s="18"/>
      <c r="K39" s="18"/>
      <c r="L39" s="18"/>
      <c r="M39" s="18"/>
      <c r="N39" s="18"/>
      <c r="O39" s="18"/>
      <c r="P39" s="18"/>
      <c r="Q39" s="18"/>
      <c r="R39" s="18"/>
      <c r="S39" s="18"/>
      <c r="T39" s="18"/>
      <c r="U39" s="18"/>
      <c r="V39" s="18"/>
      <c r="W39" s="18"/>
      <c r="X39" s="18"/>
      <c r="Y39" s="18"/>
      <c r="Z39" s="18"/>
    </row>
    <row r="40" spans="1:26" x14ac:dyDescent="0.3">
      <c r="A40" s="13"/>
      <c r="B40" s="13"/>
      <c r="C40" s="13"/>
      <c r="D40" s="13"/>
      <c r="E40" s="13"/>
      <c r="F40" s="18"/>
      <c r="G40" s="18"/>
      <c r="H40" s="18"/>
      <c r="I40" s="18"/>
      <c r="J40" s="18"/>
      <c r="K40" s="18"/>
      <c r="L40" s="18"/>
      <c r="M40" s="18"/>
      <c r="N40" s="18"/>
      <c r="O40" s="18"/>
      <c r="P40" s="18"/>
      <c r="Q40" s="18"/>
      <c r="R40" s="18"/>
      <c r="S40" s="18"/>
      <c r="T40" s="18"/>
      <c r="U40" s="18"/>
      <c r="V40" s="18"/>
      <c r="W40" s="18"/>
      <c r="X40" s="18"/>
      <c r="Y40" s="18"/>
      <c r="Z40" s="18"/>
    </row>
    <row r="41" spans="1:26" x14ac:dyDescent="0.3">
      <c r="A41" s="13"/>
      <c r="B41" s="13"/>
      <c r="C41" s="13"/>
      <c r="D41" s="13"/>
      <c r="E41" s="13"/>
      <c r="F41" s="18"/>
      <c r="G41" s="18"/>
      <c r="H41" s="18"/>
      <c r="I41" s="18"/>
      <c r="J41" s="18"/>
      <c r="K41" s="18"/>
      <c r="L41" s="18"/>
      <c r="M41" s="18"/>
      <c r="N41" s="18"/>
      <c r="O41" s="18"/>
      <c r="P41" s="18"/>
      <c r="Q41" s="18"/>
      <c r="R41" s="18"/>
      <c r="S41" s="18"/>
      <c r="T41" s="18"/>
      <c r="U41" s="18"/>
      <c r="V41" s="18"/>
      <c r="W41" s="18"/>
      <c r="X41" s="18"/>
      <c r="Y41" s="18"/>
      <c r="Z41" s="18"/>
    </row>
    <row r="42" spans="1:26" x14ac:dyDescent="0.3">
      <c r="A42" s="13"/>
      <c r="B42" s="13"/>
      <c r="C42" s="13"/>
      <c r="D42" s="13"/>
      <c r="E42" s="13"/>
      <c r="F42" s="18"/>
      <c r="G42" s="18"/>
      <c r="H42" s="18"/>
      <c r="I42" s="18"/>
      <c r="J42" s="18"/>
      <c r="K42" s="18"/>
      <c r="L42" s="18"/>
      <c r="M42" s="18"/>
      <c r="N42" s="18"/>
      <c r="O42" s="18"/>
      <c r="P42" s="18"/>
      <c r="Q42" s="18"/>
      <c r="R42" s="18"/>
      <c r="S42" s="18"/>
      <c r="T42" s="18"/>
      <c r="U42" s="18"/>
      <c r="V42" s="18"/>
      <c r="W42" s="18"/>
      <c r="X42" s="18"/>
      <c r="Y42" s="18"/>
      <c r="Z42" s="18"/>
    </row>
    <row r="43" spans="1:26" x14ac:dyDescent="0.3">
      <c r="A43" s="13"/>
      <c r="B43" s="13"/>
      <c r="C43" s="13"/>
      <c r="D43" s="13"/>
      <c r="E43" s="13"/>
      <c r="F43" s="18"/>
      <c r="G43" s="18"/>
      <c r="H43" s="18"/>
      <c r="I43" s="18"/>
      <c r="J43" s="18"/>
      <c r="K43" s="18"/>
      <c r="L43" s="18"/>
      <c r="M43" s="18"/>
      <c r="N43" s="18"/>
      <c r="O43" s="18"/>
      <c r="P43" s="18"/>
      <c r="Q43" s="18"/>
      <c r="R43" s="18"/>
      <c r="S43" s="18"/>
      <c r="T43" s="18"/>
      <c r="U43" s="18"/>
      <c r="V43" s="18"/>
      <c r="W43" s="18"/>
      <c r="X43" s="18"/>
      <c r="Y43" s="18"/>
      <c r="Z43" s="18"/>
    </row>
    <row r="44" spans="1:26" x14ac:dyDescent="0.3">
      <c r="A44" s="13"/>
      <c r="B44" s="13"/>
      <c r="C44" s="13"/>
      <c r="D44" s="13"/>
      <c r="E44" s="13"/>
      <c r="F44" s="18"/>
      <c r="G44" s="18"/>
      <c r="H44" s="18"/>
      <c r="I44" s="18"/>
      <c r="J44" s="18"/>
      <c r="K44" s="18"/>
      <c r="L44" s="18"/>
      <c r="M44" s="18"/>
      <c r="N44" s="18"/>
      <c r="O44" s="18"/>
      <c r="P44" s="18"/>
      <c r="Q44" s="18"/>
      <c r="R44" s="18"/>
      <c r="S44" s="18"/>
      <c r="T44" s="18"/>
      <c r="U44" s="18"/>
      <c r="V44" s="18"/>
      <c r="W44" s="18"/>
      <c r="X44" s="18"/>
      <c r="Y44" s="18"/>
      <c r="Z44" s="18"/>
    </row>
    <row r="45" spans="1:26" x14ac:dyDescent="0.3">
      <c r="A45" s="13"/>
      <c r="B45" s="13"/>
      <c r="C45" s="13"/>
      <c r="D45" s="13"/>
      <c r="E45" s="13"/>
      <c r="F45" s="18"/>
      <c r="G45" s="18"/>
      <c r="H45" s="18"/>
      <c r="I45" s="18"/>
      <c r="J45" s="18"/>
      <c r="K45" s="18"/>
      <c r="L45" s="18"/>
      <c r="M45" s="18"/>
      <c r="N45" s="18"/>
      <c r="O45" s="18"/>
      <c r="P45" s="18"/>
      <c r="Q45" s="18"/>
      <c r="R45" s="18"/>
      <c r="S45" s="18"/>
      <c r="T45" s="18"/>
      <c r="U45" s="18"/>
      <c r="V45" s="18"/>
      <c r="W45" s="18"/>
      <c r="X45" s="18"/>
      <c r="Y45" s="18"/>
      <c r="Z45" s="18"/>
    </row>
    <row r="46" spans="1:26" x14ac:dyDescent="0.3">
      <c r="A46" s="13"/>
      <c r="B46" s="13"/>
      <c r="C46" s="13"/>
      <c r="D46" s="13"/>
      <c r="E46" s="13"/>
      <c r="F46" s="18"/>
      <c r="G46" s="18"/>
      <c r="H46" s="18"/>
      <c r="I46" s="18"/>
      <c r="J46" s="18"/>
      <c r="K46" s="18"/>
      <c r="L46" s="18"/>
      <c r="M46" s="18"/>
      <c r="N46" s="18"/>
      <c r="O46" s="18"/>
      <c r="P46" s="18"/>
      <c r="Q46" s="18"/>
      <c r="R46" s="18"/>
      <c r="S46" s="18"/>
      <c r="T46" s="18"/>
      <c r="U46" s="18"/>
      <c r="V46" s="18"/>
      <c r="W46" s="18"/>
      <c r="X46" s="18"/>
      <c r="Y46" s="18"/>
      <c r="Z46" s="18"/>
    </row>
    <row r="47" spans="1:26" x14ac:dyDescent="0.3">
      <c r="A47" s="13"/>
      <c r="B47" s="13"/>
      <c r="C47" s="13"/>
      <c r="D47" s="13"/>
      <c r="E47" s="13"/>
      <c r="F47" s="18"/>
      <c r="G47" s="18"/>
      <c r="H47" s="18"/>
      <c r="I47" s="18"/>
      <c r="J47" s="18"/>
      <c r="K47" s="18"/>
      <c r="L47" s="18"/>
      <c r="M47" s="18"/>
      <c r="N47" s="18"/>
      <c r="O47" s="18"/>
      <c r="P47" s="18"/>
      <c r="Q47" s="18"/>
      <c r="R47" s="18"/>
      <c r="S47" s="18"/>
      <c r="T47" s="18"/>
      <c r="U47" s="18"/>
      <c r="V47" s="18"/>
      <c r="W47" s="18"/>
      <c r="X47" s="18"/>
      <c r="Y47" s="18"/>
      <c r="Z47" s="18"/>
    </row>
    <row r="48" spans="1:26" x14ac:dyDescent="0.3">
      <c r="A48" s="13"/>
      <c r="B48" s="13"/>
      <c r="C48" s="13"/>
      <c r="D48" s="13"/>
      <c r="E48" s="13"/>
      <c r="F48" s="18"/>
      <c r="G48" s="18"/>
      <c r="H48" s="18"/>
      <c r="I48" s="18"/>
      <c r="J48" s="18"/>
      <c r="K48" s="18"/>
      <c r="L48" s="18"/>
      <c r="M48" s="18"/>
      <c r="N48" s="18"/>
      <c r="O48" s="18"/>
      <c r="P48" s="18"/>
      <c r="Q48" s="18"/>
      <c r="R48" s="18"/>
      <c r="S48" s="18"/>
      <c r="T48" s="18"/>
      <c r="U48" s="18"/>
      <c r="V48" s="18"/>
      <c r="W48" s="18"/>
      <c r="X48" s="18"/>
      <c r="Y48" s="18"/>
      <c r="Z48" s="18"/>
    </row>
    <row r="49" spans="1:26" x14ac:dyDescent="0.3">
      <c r="A49" s="13"/>
      <c r="B49" s="13"/>
      <c r="C49" s="13"/>
      <c r="D49" s="13"/>
      <c r="E49" s="13"/>
      <c r="F49" s="18"/>
      <c r="G49" s="18"/>
      <c r="H49" s="18"/>
      <c r="I49" s="18"/>
      <c r="J49" s="18"/>
      <c r="K49" s="18"/>
      <c r="L49" s="18"/>
      <c r="M49" s="18"/>
      <c r="N49" s="18"/>
      <c r="O49" s="18"/>
      <c r="P49" s="18"/>
      <c r="Q49" s="18"/>
      <c r="R49" s="18"/>
      <c r="S49" s="18"/>
      <c r="T49" s="18"/>
      <c r="U49" s="18"/>
      <c r="V49" s="18"/>
      <c r="W49" s="18"/>
      <c r="X49" s="18"/>
      <c r="Y49" s="18"/>
      <c r="Z49" s="18"/>
    </row>
    <row r="50" spans="1:26" x14ac:dyDescent="0.3">
      <c r="A50" s="13"/>
      <c r="B50" s="13"/>
      <c r="C50" s="13"/>
      <c r="D50" s="13"/>
      <c r="E50" s="13"/>
      <c r="F50" s="18"/>
      <c r="G50" s="18"/>
      <c r="H50" s="18"/>
      <c r="I50" s="18"/>
      <c r="J50" s="18"/>
      <c r="K50" s="18"/>
      <c r="L50" s="18"/>
      <c r="M50" s="18"/>
      <c r="N50" s="18"/>
      <c r="O50" s="18"/>
      <c r="P50" s="18"/>
      <c r="Q50" s="18"/>
      <c r="R50" s="18"/>
      <c r="S50" s="18"/>
      <c r="T50" s="18"/>
      <c r="U50" s="18"/>
      <c r="V50" s="18"/>
      <c r="W50" s="18"/>
      <c r="X50" s="18"/>
      <c r="Y50" s="18"/>
      <c r="Z50" s="18"/>
    </row>
    <row r="51" spans="1:26" x14ac:dyDescent="0.3">
      <c r="A51" s="13"/>
      <c r="B51" s="13"/>
      <c r="C51" s="13"/>
      <c r="D51" s="13"/>
      <c r="E51" s="13"/>
      <c r="F51" s="18"/>
      <c r="G51" s="18"/>
      <c r="H51" s="18"/>
      <c r="I51" s="18"/>
      <c r="J51" s="18"/>
      <c r="K51" s="18"/>
      <c r="L51" s="18"/>
      <c r="M51" s="18"/>
      <c r="N51" s="18"/>
      <c r="O51" s="18"/>
      <c r="P51" s="18"/>
      <c r="Q51" s="18"/>
      <c r="R51" s="18"/>
      <c r="S51" s="18"/>
      <c r="T51" s="18"/>
      <c r="U51" s="18"/>
      <c r="V51" s="18"/>
      <c r="W51" s="18"/>
      <c r="X51" s="18"/>
      <c r="Y51" s="18"/>
      <c r="Z51" s="18"/>
    </row>
    <row r="52" spans="1:26" x14ac:dyDescent="0.3">
      <c r="A52" s="13"/>
      <c r="B52" s="13"/>
      <c r="C52" s="13"/>
      <c r="D52" s="13"/>
      <c r="E52" s="13"/>
      <c r="F52" s="18"/>
      <c r="G52" s="18"/>
      <c r="H52" s="18"/>
      <c r="I52" s="18"/>
      <c r="J52" s="18"/>
      <c r="K52" s="18"/>
      <c r="L52" s="18"/>
      <c r="M52" s="18"/>
      <c r="N52" s="18"/>
      <c r="O52" s="18"/>
      <c r="P52" s="18"/>
      <c r="Q52" s="18"/>
      <c r="R52" s="18"/>
      <c r="S52" s="18"/>
      <c r="T52" s="18"/>
      <c r="U52" s="18"/>
      <c r="V52" s="18"/>
      <c r="W52" s="18"/>
      <c r="X52" s="18"/>
      <c r="Y52" s="18"/>
      <c r="Z52" s="18"/>
    </row>
    <row r="53" spans="1:26" x14ac:dyDescent="0.3">
      <c r="A53" s="13"/>
      <c r="B53" s="13"/>
      <c r="C53" s="13"/>
      <c r="D53" s="13"/>
      <c r="E53" s="13"/>
      <c r="F53" s="24"/>
      <c r="G53" s="24"/>
      <c r="H53" s="24"/>
      <c r="I53" s="25" t="s">
        <v>782</v>
      </c>
      <c r="J53" s="24"/>
      <c r="K53" s="24"/>
      <c r="L53" s="24"/>
      <c r="M53" s="24"/>
      <c r="N53" s="24"/>
      <c r="O53" s="24"/>
      <c r="P53" s="24"/>
      <c r="Q53" s="24"/>
      <c r="R53" s="24"/>
      <c r="S53" s="25" t="s">
        <v>783</v>
      </c>
      <c r="T53" s="24"/>
      <c r="U53" s="24"/>
      <c r="V53" s="24"/>
      <c r="W53" s="24"/>
      <c r="X53" s="24"/>
      <c r="Y53" s="24"/>
      <c r="Z53" s="24"/>
    </row>
    <row r="54" spans="1:26" x14ac:dyDescent="0.3">
      <c r="A54" s="13"/>
      <c r="B54" s="13"/>
      <c r="C54" s="13"/>
      <c r="D54" s="13"/>
      <c r="E54" s="13"/>
      <c r="F54" s="18"/>
      <c r="G54" s="18"/>
      <c r="H54" s="18"/>
      <c r="I54" s="18"/>
      <c r="J54" s="18"/>
      <c r="K54" s="18"/>
      <c r="L54" s="18"/>
      <c r="M54" s="18"/>
      <c r="N54" s="18"/>
      <c r="O54" s="18"/>
      <c r="P54" s="18"/>
      <c r="Q54" s="18"/>
      <c r="R54" s="18"/>
      <c r="S54" s="18"/>
      <c r="T54" s="18"/>
      <c r="U54" s="18"/>
      <c r="V54" s="18"/>
      <c r="W54" s="18"/>
      <c r="X54" s="18"/>
      <c r="Y54" s="18"/>
      <c r="Z54" s="18"/>
    </row>
    <row r="55" spans="1:26" x14ac:dyDescent="0.3">
      <c r="A55" s="13"/>
      <c r="B55" s="13"/>
      <c r="C55" s="13"/>
      <c r="D55" s="13"/>
      <c r="E55" s="13"/>
      <c r="F55" s="18"/>
      <c r="G55" s="18"/>
      <c r="H55" s="18"/>
      <c r="I55" s="18"/>
      <c r="J55" s="18"/>
      <c r="K55" s="18"/>
      <c r="L55" s="18"/>
      <c r="M55" s="18"/>
      <c r="N55" s="18"/>
      <c r="O55" s="18"/>
      <c r="P55" s="18"/>
      <c r="Q55" s="18"/>
      <c r="R55" s="18"/>
      <c r="S55" s="18"/>
      <c r="T55" s="18"/>
      <c r="U55" s="18"/>
      <c r="V55" s="18"/>
      <c r="W55" s="18"/>
      <c r="X55" s="18"/>
      <c r="Y55" s="18"/>
      <c r="Z55" s="18"/>
    </row>
    <row r="56" spans="1:26" x14ac:dyDescent="0.3">
      <c r="A56" s="13"/>
      <c r="B56" s="13"/>
      <c r="C56" s="13"/>
      <c r="D56" s="13"/>
      <c r="E56" s="13"/>
      <c r="F56" s="18"/>
      <c r="G56" s="18"/>
      <c r="H56" s="18"/>
      <c r="I56" s="18"/>
      <c r="J56" s="18"/>
      <c r="K56" s="18"/>
      <c r="L56" s="18"/>
      <c r="M56" s="18"/>
      <c r="N56" s="18"/>
      <c r="O56" s="18"/>
      <c r="P56" s="18"/>
      <c r="Q56" s="18"/>
      <c r="R56" s="18"/>
      <c r="S56" s="18"/>
      <c r="T56" s="18"/>
      <c r="U56" s="18"/>
      <c r="V56" s="18"/>
      <c r="W56" s="18"/>
      <c r="X56" s="18"/>
      <c r="Y56" s="18"/>
      <c r="Z56" s="18"/>
    </row>
    <row r="57" spans="1:26" x14ac:dyDescent="0.3">
      <c r="A57" s="13"/>
      <c r="B57" s="13"/>
      <c r="C57" s="13"/>
      <c r="D57" s="13"/>
      <c r="E57" s="13"/>
      <c r="F57" s="18"/>
      <c r="G57" s="18"/>
      <c r="H57" s="18"/>
      <c r="I57" s="18"/>
      <c r="J57" s="18"/>
      <c r="K57" s="18"/>
      <c r="L57" s="18"/>
      <c r="M57" s="18"/>
      <c r="N57" s="18"/>
      <c r="O57" s="18"/>
      <c r="P57" s="18"/>
      <c r="Q57" s="18"/>
      <c r="R57" s="18"/>
      <c r="S57" s="18"/>
      <c r="T57" s="18"/>
      <c r="U57" s="18"/>
      <c r="V57" s="18"/>
      <c r="W57" s="18"/>
      <c r="X57" s="18"/>
      <c r="Y57" s="18"/>
      <c r="Z57" s="18"/>
    </row>
    <row r="58" spans="1:26" x14ac:dyDescent="0.3">
      <c r="A58" s="13"/>
      <c r="B58" s="13"/>
      <c r="C58" s="13"/>
      <c r="D58" s="13"/>
      <c r="E58" s="13"/>
      <c r="F58" s="18"/>
      <c r="G58" s="18"/>
      <c r="H58" s="18"/>
      <c r="I58" s="18"/>
      <c r="J58" s="18"/>
      <c r="K58" s="18"/>
      <c r="L58" s="18"/>
      <c r="M58" s="18"/>
      <c r="N58" s="18"/>
      <c r="O58" s="18"/>
      <c r="P58" s="18"/>
      <c r="Q58" s="18"/>
      <c r="R58" s="18"/>
      <c r="S58" s="18"/>
      <c r="T58" s="18"/>
      <c r="U58" s="18"/>
      <c r="V58" s="18"/>
      <c r="W58" s="18"/>
      <c r="X58" s="18"/>
      <c r="Y58" s="18"/>
      <c r="Z58" s="18"/>
    </row>
    <row r="59" spans="1:26" x14ac:dyDescent="0.3">
      <c r="A59" s="13"/>
      <c r="B59" s="13"/>
      <c r="C59" s="13"/>
      <c r="D59" s="13"/>
      <c r="E59" s="13"/>
      <c r="F59" s="18"/>
      <c r="G59" s="18"/>
      <c r="H59" s="18"/>
      <c r="I59" s="18"/>
      <c r="J59" s="18"/>
      <c r="K59" s="18"/>
      <c r="L59" s="18"/>
      <c r="M59" s="18"/>
      <c r="N59" s="18"/>
      <c r="O59" s="18"/>
      <c r="P59" s="18"/>
      <c r="Q59" s="18"/>
      <c r="R59" s="18"/>
      <c r="S59" s="18"/>
      <c r="T59" s="18"/>
      <c r="U59" s="18"/>
      <c r="V59" s="18"/>
      <c r="W59" s="18"/>
      <c r="X59" s="18"/>
      <c r="Y59" s="18"/>
      <c r="Z59" s="18"/>
    </row>
    <row r="60" spans="1:26" x14ac:dyDescent="0.3">
      <c r="A60" s="13"/>
      <c r="B60" s="13"/>
      <c r="C60" s="13"/>
      <c r="D60" s="13"/>
      <c r="E60" s="13"/>
      <c r="F60" s="18"/>
      <c r="G60" s="18"/>
      <c r="H60" s="18"/>
      <c r="I60" s="18"/>
      <c r="J60" s="18"/>
      <c r="K60" s="18"/>
      <c r="L60" s="18"/>
      <c r="M60" s="18"/>
      <c r="N60" s="18"/>
      <c r="O60" s="18"/>
      <c r="P60" s="18"/>
      <c r="Q60" s="18"/>
      <c r="R60" s="18"/>
      <c r="S60" s="18"/>
      <c r="T60" s="18"/>
      <c r="U60" s="18"/>
      <c r="V60" s="18"/>
      <c r="W60" s="18"/>
      <c r="X60" s="18"/>
      <c r="Y60" s="18"/>
      <c r="Z60" s="18"/>
    </row>
    <row r="61" spans="1:26" x14ac:dyDescent="0.3">
      <c r="A61" s="13"/>
      <c r="B61" s="13"/>
      <c r="C61" s="13"/>
      <c r="D61" s="13"/>
      <c r="E61" s="13"/>
      <c r="F61" s="18"/>
      <c r="G61" s="18"/>
      <c r="H61" s="18"/>
      <c r="I61" s="18"/>
      <c r="J61" s="18"/>
      <c r="K61" s="18"/>
      <c r="L61" s="18"/>
      <c r="M61" s="18"/>
      <c r="N61" s="18"/>
      <c r="O61" s="18"/>
      <c r="P61" s="18"/>
      <c r="Q61" s="18"/>
      <c r="R61" s="18"/>
      <c r="S61" s="18"/>
      <c r="T61" s="18"/>
      <c r="U61" s="18"/>
      <c r="V61" s="18"/>
      <c r="W61" s="18"/>
      <c r="X61" s="18"/>
      <c r="Y61" s="18"/>
      <c r="Z61" s="18"/>
    </row>
    <row r="62" spans="1:26" x14ac:dyDescent="0.3">
      <c r="A62" s="13"/>
      <c r="B62" s="13"/>
      <c r="C62" s="13"/>
      <c r="D62" s="13"/>
      <c r="E62" s="13"/>
      <c r="F62" s="18"/>
      <c r="G62" s="18"/>
      <c r="H62" s="18"/>
      <c r="I62" s="18"/>
      <c r="J62" s="18"/>
      <c r="K62" s="18"/>
      <c r="L62" s="18"/>
      <c r="M62" s="18"/>
      <c r="N62" s="18"/>
      <c r="O62" s="18"/>
      <c r="P62" s="18"/>
      <c r="Q62" s="18"/>
      <c r="R62" s="18"/>
      <c r="S62" s="18"/>
      <c r="T62" s="18"/>
      <c r="U62" s="18"/>
      <c r="V62" s="18"/>
      <c r="W62" s="18"/>
      <c r="X62" s="18"/>
      <c r="Y62" s="18"/>
      <c r="Z62" s="18"/>
    </row>
    <row r="63" spans="1:26" x14ac:dyDescent="0.3">
      <c r="A63" s="13"/>
      <c r="B63" s="13"/>
      <c r="C63" s="13"/>
      <c r="D63" s="13"/>
      <c r="E63" s="13"/>
      <c r="F63" s="18"/>
      <c r="G63" s="18"/>
      <c r="H63" s="18"/>
      <c r="I63" s="18"/>
      <c r="J63" s="18"/>
      <c r="K63" s="18"/>
      <c r="L63" s="18"/>
      <c r="M63" s="18"/>
      <c r="N63" s="18"/>
      <c r="O63" s="18"/>
      <c r="P63" s="18"/>
      <c r="Q63" s="18"/>
      <c r="R63" s="18"/>
      <c r="S63" s="18"/>
      <c r="T63" s="18"/>
      <c r="U63" s="18"/>
      <c r="V63" s="18"/>
      <c r="W63" s="18"/>
      <c r="X63" s="18"/>
      <c r="Y63" s="18"/>
      <c r="Z63" s="18"/>
    </row>
    <row r="64" spans="1:26" x14ac:dyDescent="0.3">
      <c r="A64" s="13"/>
      <c r="B64" s="13"/>
      <c r="C64" s="13"/>
      <c r="D64" s="13"/>
      <c r="E64" s="13"/>
      <c r="F64" s="18"/>
      <c r="G64" s="18"/>
      <c r="H64" s="18"/>
      <c r="I64" s="18"/>
      <c r="J64" s="18"/>
      <c r="K64" s="18"/>
      <c r="L64" s="18"/>
      <c r="M64" s="18"/>
      <c r="N64" s="18"/>
      <c r="O64" s="18"/>
      <c r="P64" s="18"/>
      <c r="Q64" s="18"/>
      <c r="R64" s="18"/>
      <c r="S64" s="18"/>
      <c r="T64" s="18"/>
      <c r="U64" s="18"/>
      <c r="V64" s="18"/>
      <c r="W64" s="18"/>
      <c r="X64" s="18"/>
      <c r="Y64" s="18"/>
      <c r="Z64" s="18"/>
    </row>
    <row r="65" spans="1:26" x14ac:dyDescent="0.3">
      <c r="A65" s="13"/>
      <c r="B65" s="13"/>
      <c r="C65" s="13"/>
      <c r="D65" s="13"/>
      <c r="E65" s="13"/>
      <c r="F65" s="18"/>
      <c r="G65" s="18"/>
      <c r="H65" s="18"/>
      <c r="I65" s="18"/>
      <c r="J65" s="18"/>
      <c r="K65" s="18"/>
      <c r="L65" s="18"/>
      <c r="M65" s="18"/>
      <c r="N65" s="18"/>
      <c r="O65" s="18"/>
      <c r="P65" s="18"/>
      <c r="Q65" s="18"/>
      <c r="R65" s="18"/>
      <c r="S65" s="18"/>
      <c r="T65" s="18"/>
      <c r="U65" s="18"/>
      <c r="V65" s="18"/>
      <c r="W65" s="18"/>
      <c r="X65" s="18"/>
      <c r="Y65" s="18"/>
      <c r="Z65" s="18"/>
    </row>
    <row r="66" spans="1:26" x14ac:dyDescent="0.3">
      <c r="A66" s="13"/>
      <c r="B66" s="13"/>
      <c r="C66" s="13"/>
      <c r="D66" s="13"/>
      <c r="E66" s="13"/>
      <c r="F66" s="18"/>
      <c r="G66" s="18"/>
      <c r="H66" s="18"/>
      <c r="I66" s="18"/>
      <c r="J66" s="18"/>
      <c r="K66" s="18"/>
      <c r="L66" s="18"/>
      <c r="M66" s="18"/>
      <c r="N66" s="18"/>
      <c r="O66" s="18"/>
      <c r="P66" s="18"/>
      <c r="Q66" s="18"/>
      <c r="R66" s="18"/>
      <c r="S66" s="18"/>
      <c r="T66" s="18"/>
      <c r="U66" s="18"/>
      <c r="V66" s="18"/>
      <c r="W66" s="18"/>
      <c r="X66" s="18"/>
      <c r="Y66" s="18"/>
      <c r="Z66" s="18"/>
    </row>
    <row r="67" spans="1:26" x14ac:dyDescent="0.3">
      <c r="A67" s="13"/>
      <c r="B67" s="13"/>
      <c r="C67" s="13"/>
      <c r="D67" s="13"/>
      <c r="E67" s="13"/>
      <c r="F67" s="18"/>
      <c r="G67" s="18"/>
      <c r="H67" s="18"/>
      <c r="I67" s="18"/>
      <c r="J67" s="18"/>
      <c r="K67" s="18"/>
      <c r="L67" s="18"/>
      <c r="M67" s="18"/>
      <c r="N67" s="18"/>
      <c r="O67" s="18"/>
      <c r="P67" s="18"/>
      <c r="Q67" s="18"/>
      <c r="R67" s="18"/>
      <c r="S67" s="18"/>
      <c r="T67" s="18"/>
      <c r="U67" s="18"/>
      <c r="V67" s="18"/>
      <c r="W67" s="18"/>
      <c r="X67" s="18"/>
      <c r="Y67" s="18"/>
      <c r="Z67" s="18"/>
    </row>
    <row r="68" spans="1:26" x14ac:dyDescent="0.3">
      <c r="A68" s="13"/>
      <c r="B68" s="13"/>
      <c r="C68" s="13"/>
      <c r="D68" s="13"/>
      <c r="E68" s="13"/>
      <c r="F68" s="18"/>
      <c r="G68" s="18"/>
      <c r="H68" s="18"/>
      <c r="I68" s="18"/>
      <c r="J68" s="18"/>
      <c r="K68" s="18"/>
      <c r="L68" s="18"/>
      <c r="M68" s="18"/>
      <c r="N68" s="18"/>
      <c r="O68" s="18"/>
      <c r="P68" s="18"/>
      <c r="Q68" s="18"/>
      <c r="R68" s="18"/>
      <c r="S68" s="18"/>
      <c r="T68" s="18"/>
      <c r="U68" s="18"/>
      <c r="V68" s="18"/>
      <c r="W68" s="18"/>
      <c r="X68" s="18"/>
      <c r="Y68" s="18"/>
      <c r="Z68" s="18"/>
    </row>
    <row r="69" spans="1:26" x14ac:dyDescent="0.3">
      <c r="A69" s="13"/>
      <c r="B69" s="13"/>
      <c r="C69" s="13"/>
      <c r="D69" s="13"/>
      <c r="E69" s="13"/>
      <c r="F69" s="18"/>
      <c r="G69" s="18"/>
      <c r="H69" s="18"/>
      <c r="I69" s="18"/>
      <c r="J69" s="18"/>
      <c r="K69" s="18"/>
      <c r="L69" s="18"/>
      <c r="M69" s="18"/>
      <c r="N69" s="18"/>
      <c r="O69" s="18"/>
      <c r="P69" s="18"/>
      <c r="Q69" s="18"/>
      <c r="R69" s="18"/>
      <c r="S69" s="18"/>
      <c r="T69" s="18"/>
      <c r="U69" s="18"/>
      <c r="V69" s="18"/>
      <c r="W69" s="18"/>
      <c r="X69" s="18"/>
      <c r="Y69" s="18"/>
      <c r="Z69" s="18"/>
    </row>
    <row r="70" spans="1:26" x14ac:dyDescent="0.3">
      <c r="A70" s="13"/>
      <c r="B70" s="13"/>
      <c r="C70" s="13"/>
      <c r="D70" s="13"/>
      <c r="E70" s="13"/>
      <c r="F70" s="18"/>
      <c r="G70" s="18"/>
      <c r="H70" s="18"/>
      <c r="I70" s="18"/>
      <c r="J70" s="18"/>
      <c r="K70" s="18"/>
      <c r="L70" s="18"/>
      <c r="M70" s="18"/>
      <c r="N70" s="18"/>
      <c r="O70" s="18"/>
      <c r="P70" s="18"/>
      <c r="Q70" s="18"/>
      <c r="R70" s="18"/>
      <c r="S70" s="18"/>
      <c r="T70" s="18"/>
      <c r="U70" s="18"/>
      <c r="V70" s="18"/>
      <c r="W70" s="18"/>
      <c r="X70" s="18"/>
      <c r="Y70" s="18"/>
      <c r="Z70" s="18"/>
    </row>
    <row r="71" spans="1:26" x14ac:dyDescent="0.3">
      <c r="A71" s="13"/>
      <c r="B71" s="13"/>
      <c r="C71" s="13"/>
      <c r="D71" s="13"/>
      <c r="E71" s="13"/>
      <c r="F71" s="18"/>
      <c r="G71" s="18"/>
      <c r="H71" s="18"/>
      <c r="I71" s="18"/>
      <c r="J71" s="18"/>
      <c r="K71" s="18"/>
      <c r="L71" s="18"/>
      <c r="M71" s="18"/>
      <c r="N71" s="18"/>
      <c r="O71" s="18"/>
      <c r="P71" s="18"/>
      <c r="Q71" s="18"/>
      <c r="R71" s="18"/>
      <c r="S71" s="18"/>
      <c r="T71" s="18"/>
      <c r="U71" s="18"/>
      <c r="V71" s="18"/>
      <c r="W71" s="18"/>
      <c r="X71" s="18"/>
      <c r="Y71" s="18"/>
      <c r="Z71" s="18"/>
    </row>
    <row r="72" spans="1:26" x14ac:dyDescent="0.3">
      <c r="A72" s="13"/>
      <c r="B72" s="13"/>
      <c r="C72" s="13"/>
      <c r="D72" s="13"/>
      <c r="E72" s="13"/>
      <c r="F72" s="18"/>
      <c r="G72" s="18"/>
      <c r="H72" s="18"/>
      <c r="I72" s="18"/>
      <c r="J72" s="18"/>
      <c r="K72" s="18"/>
      <c r="L72" s="18"/>
      <c r="M72" s="18"/>
      <c r="N72" s="18"/>
      <c r="O72" s="18"/>
      <c r="P72" s="18"/>
      <c r="Q72" s="18"/>
      <c r="R72" s="18"/>
      <c r="S72" s="18"/>
      <c r="T72" s="18"/>
      <c r="U72" s="18"/>
      <c r="V72" s="18"/>
      <c r="W72" s="18"/>
      <c r="X72" s="18"/>
      <c r="Y72" s="18"/>
      <c r="Z72" s="18"/>
    </row>
    <row r="73" spans="1:26" x14ac:dyDescent="0.3">
      <c r="A73" s="13"/>
      <c r="B73" s="13"/>
      <c r="C73" s="13"/>
      <c r="D73" s="13"/>
      <c r="E73" s="13"/>
      <c r="F73" s="18"/>
      <c r="G73" s="18"/>
      <c r="H73" s="18"/>
      <c r="I73" s="18"/>
      <c r="J73" s="18"/>
      <c r="K73" s="18"/>
      <c r="L73" s="18"/>
      <c r="M73" s="18"/>
      <c r="N73" s="18"/>
      <c r="O73" s="18"/>
      <c r="P73" s="18"/>
      <c r="Q73" s="18"/>
      <c r="R73" s="18"/>
      <c r="S73" s="18"/>
      <c r="T73" s="18"/>
      <c r="U73" s="18"/>
      <c r="V73" s="18"/>
      <c r="W73" s="18"/>
      <c r="X73" s="18"/>
      <c r="Y73" s="18"/>
      <c r="Z73" s="18"/>
    </row>
    <row r="74" spans="1:26" x14ac:dyDescent="0.3">
      <c r="A74" s="13"/>
      <c r="B74" s="13"/>
      <c r="C74" s="13"/>
      <c r="D74" s="13"/>
      <c r="E74" s="13"/>
      <c r="F74" s="18"/>
      <c r="G74" s="18"/>
      <c r="H74" s="18"/>
      <c r="I74" s="18"/>
      <c r="J74" s="18"/>
      <c r="K74" s="18"/>
      <c r="L74" s="18"/>
      <c r="M74" s="18"/>
      <c r="N74" s="18"/>
      <c r="O74" s="18"/>
      <c r="P74" s="18"/>
      <c r="Q74" s="18"/>
      <c r="R74" s="18"/>
      <c r="S74" s="18"/>
      <c r="T74" s="18"/>
      <c r="U74" s="18"/>
      <c r="V74" s="18"/>
      <c r="W74" s="18"/>
      <c r="X74" s="18"/>
      <c r="Y74" s="18"/>
      <c r="Z74" s="18"/>
    </row>
    <row r="75" spans="1:26" x14ac:dyDescent="0.3">
      <c r="A75" s="13"/>
      <c r="B75" s="13"/>
      <c r="C75" s="13"/>
      <c r="D75" s="13"/>
      <c r="E75" s="13"/>
      <c r="F75" s="18"/>
      <c r="G75" s="18"/>
      <c r="H75" s="18"/>
      <c r="I75" s="18"/>
      <c r="J75" s="18"/>
      <c r="K75" s="18"/>
      <c r="L75" s="18"/>
      <c r="M75" s="18"/>
      <c r="N75" s="18"/>
      <c r="O75" s="18"/>
      <c r="P75" s="18"/>
      <c r="Q75" s="18"/>
      <c r="R75" s="18"/>
      <c r="S75" s="18"/>
      <c r="T75" s="18"/>
      <c r="U75" s="18"/>
      <c r="V75" s="18"/>
      <c r="W75" s="18"/>
      <c r="X75" s="18"/>
      <c r="Y75" s="18"/>
      <c r="Z75" s="18"/>
    </row>
    <row r="76" spans="1:26" x14ac:dyDescent="0.3">
      <c r="A76" s="13"/>
      <c r="B76" s="13"/>
      <c r="C76" s="13"/>
      <c r="D76" s="13"/>
      <c r="E76" s="13"/>
      <c r="F76" s="18"/>
      <c r="G76" s="18"/>
      <c r="H76" s="18"/>
      <c r="I76" s="18"/>
      <c r="J76" s="18"/>
      <c r="K76" s="18"/>
      <c r="L76" s="18"/>
      <c r="M76" s="18"/>
      <c r="N76" s="18"/>
      <c r="O76" s="18"/>
      <c r="P76" s="18"/>
      <c r="Q76" s="18"/>
      <c r="R76" s="18"/>
      <c r="S76" s="18"/>
      <c r="T76" s="18"/>
      <c r="U76" s="18"/>
      <c r="V76" s="18"/>
      <c r="W76" s="18"/>
      <c r="X76" s="18"/>
      <c r="Y76" s="18"/>
      <c r="Z76" s="18"/>
    </row>
    <row r="77" spans="1:26" x14ac:dyDescent="0.3">
      <c r="A77" s="13"/>
      <c r="B77" s="13"/>
      <c r="C77" s="13"/>
      <c r="D77" s="13"/>
      <c r="E77" s="13"/>
      <c r="F77" s="18"/>
      <c r="G77" s="18"/>
      <c r="H77" s="18"/>
      <c r="I77" s="18"/>
      <c r="J77" s="18"/>
      <c r="K77" s="18"/>
      <c r="L77" s="18"/>
      <c r="M77" s="18"/>
      <c r="N77" s="18"/>
      <c r="O77" s="18"/>
      <c r="P77" s="18"/>
      <c r="Q77" s="18"/>
      <c r="R77" s="18"/>
      <c r="S77" s="18"/>
      <c r="T77" s="18"/>
      <c r="U77" s="18"/>
      <c r="V77" s="18"/>
      <c r="W77" s="18"/>
      <c r="X77" s="18"/>
      <c r="Y77" s="18"/>
      <c r="Z77" s="18"/>
    </row>
    <row r="78" spans="1:26" x14ac:dyDescent="0.3">
      <c r="A78" s="13"/>
      <c r="B78" s="13"/>
      <c r="C78" s="13"/>
      <c r="D78" s="13"/>
      <c r="E78" s="13"/>
      <c r="F78" s="18"/>
      <c r="G78" s="18"/>
      <c r="H78" s="18"/>
      <c r="I78" s="18"/>
      <c r="J78" s="18"/>
      <c r="K78" s="18"/>
      <c r="L78" s="18"/>
      <c r="M78" s="18"/>
      <c r="N78" s="18"/>
      <c r="O78" s="18"/>
      <c r="P78" s="18"/>
      <c r="Q78" s="18"/>
      <c r="R78" s="18"/>
      <c r="S78" s="18"/>
      <c r="T78" s="18"/>
      <c r="U78" s="18"/>
      <c r="V78" s="18"/>
      <c r="W78" s="18"/>
      <c r="X78" s="18"/>
      <c r="Y78" s="18"/>
      <c r="Z78" s="18"/>
    </row>
    <row r="79" spans="1:26" x14ac:dyDescent="0.3">
      <c r="A79" s="13"/>
      <c r="B79" s="13"/>
      <c r="C79" s="13"/>
      <c r="D79" s="13"/>
      <c r="E79" s="13"/>
      <c r="F79" s="18"/>
      <c r="G79" s="18"/>
      <c r="H79" s="18"/>
      <c r="I79" s="18"/>
      <c r="J79" s="18"/>
      <c r="K79" s="18"/>
      <c r="L79" s="18"/>
      <c r="M79" s="18"/>
      <c r="N79" s="18"/>
      <c r="O79" s="18"/>
      <c r="P79" s="18"/>
      <c r="Q79" s="18"/>
      <c r="R79" s="18"/>
      <c r="S79" s="18"/>
      <c r="T79" s="18"/>
      <c r="U79" s="18"/>
      <c r="V79" s="18"/>
      <c r="W79" s="18"/>
      <c r="X79" s="18"/>
      <c r="Y79" s="18"/>
      <c r="Z79" s="18"/>
    </row>
    <row r="80" spans="1:26" x14ac:dyDescent="0.3">
      <c r="A80" s="13"/>
      <c r="B80" s="13"/>
      <c r="C80" s="13"/>
      <c r="D80" s="13"/>
      <c r="E80" s="13"/>
      <c r="F80" s="18"/>
      <c r="G80" s="18"/>
      <c r="H80" s="18"/>
      <c r="I80" s="18"/>
      <c r="J80" s="18"/>
      <c r="K80" s="18"/>
      <c r="L80" s="18"/>
      <c r="M80" s="18"/>
      <c r="N80" s="18"/>
      <c r="O80" s="18"/>
      <c r="P80" s="18"/>
      <c r="Q80" s="18"/>
      <c r="R80" s="18"/>
      <c r="S80" s="18"/>
      <c r="T80" s="18"/>
      <c r="U80" s="18"/>
      <c r="V80" s="18"/>
      <c r="W80" s="18"/>
      <c r="X80" s="18"/>
      <c r="Y80" s="18"/>
      <c r="Z80" s="1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DF3B3E0-8222-4E05-A5CD-73A87BE466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Flipkart_Sales_Data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nikhil jangid 24EACCS607</dc:creator>
  <cp:lastModifiedBy>Nikhil Jangid</cp:lastModifiedBy>
  <dcterms:created xsi:type="dcterms:W3CDTF">2015-06-05T18:17:20Z</dcterms:created>
  <dcterms:modified xsi:type="dcterms:W3CDTF">2026-06-05T12:30:14Z</dcterms:modified>
</cp:coreProperties>
</file>